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bentb\Downloads\"/>
    </mc:Choice>
  </mc:AlternateContent>
  <xr:revisionPtr revIDLastSave="0" documentId="13_ncr:1_{2E7744CD-C46E-42AE-9B4A-30CE4A470B50}" xr6:coauthVersionLast="47" xr6:coauthVersionMax="47" xr10:uidLastSave="{00000000-0000-0000-0000-000000000000}"/>
  <bookViews>
    <workbookView xWindow="-120" yWindow="-120" windowWidth="29040" windowHeight="15720" firstSheet="2" activeTab="3" xr2:uid="{BD6D16D4-C0DF-49F2-9A07-8957F82C4299}"/>
  </bookViews>
  <sheets>
    <sheet name="Table16" sheetId="7" state="hidden" r:id="rId1"/>
    <sheet name="Sheet2" sheetId="8" state="hidden" r:id="rId2"/>
    <sheet name="Data" sheetId="1" r:id="rId3"/>
    <sheet name="Hole Stats" sheetId="5" r:id="rId4"/>
    <sheet name="Sheet1" sheetId="6" state="hidden" r:id="rId5"/>
  </sheets>
  <definedNames>
    <definedName name="_xlcn.WorksheetConnection_Golf25version2.xlsxTable1" hidden="1">Table1[]</definedName>
    <definedName name="_xlcn.WorksheetConnection_Golf25version2.xlsxTable16_1" hidden="1">Table16_1[]</definedName>
    <definedName name="_xlcn.WorksheetConnection_Golf25version2.xlsxTable7" hidden="1">Table7[]</definedName>
    <definedName name="ExternalData_1" localSheetId="0" hidden="1">Table16!$A$1:$Y$421</definedName>
    <definedName name="Slicer_Hole">#N/A</definedName>
    <definedName name="Slicer_Player1">#N/A</definedName>
    <definedName name="Slicer_Player2">#N/A</definedName>
    <definedName name="Slicer_Player3">#N/A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Table7" connection="WorksheetConnection_Golf25 (version 2).xlsx!Table7"/>
          <x15:modelTable id="Table16_1" name="Table16_1" connection="WorksheetConnection_Golf25 (version 2).xlsx!Table16_1"/>
          <x15:modelTable id="Table1" name="Table1" connection="WorksheetConnection_Golf25 (version 2).xlsx!Table1"/>
        </x15:modelTables>
        <x15:modelRelationships>
          <x15:modelRelationship fromTable="Table16_1" fromColumn="Player" toTable="Table7" toColumn="Play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169" i="1" l="1"/>
  <c r="BX168" i="1"/>
  <c r="BV180" i="1"/>
  <c r="BV179" i="1"/>
  <c r="BV208" i="1"/>
  <c r="BV178" i="1"/>
  <c r="BV207" i="1"/>
  <c r="BV177" i="1"/>
  <c r="BV176" i="1"/>
  <c r="BV175" i="1"/>
  <c r="BV206" i="1"/>
  <c r="BV174" i="1"/>
  <c r="BV205" i="1"/>
  <c r="BV173" i="1"/>
  <c r="BV172" i="1"/>
  <c r="BV171" i="1"/>
  <c r="BV204" i="1"/>
  <c r="BV203" i="1"/>
  <c r="BV202" i="1"/>
  <c r="BV201" i="1"/>
  <c r="BV170" i="1"/>
  <c r="BV169" i="1"/>
  <c r="BV168" i="1"/>
  <c r="BC168" i="1"/>
  <c r="BV200" i="1"/>
  <c r="BV167" i="1"/>
  <c r="BV199" i="1"/>
  <c r="BV198" i="1"/>
  <c r="BV166" i="1"/>
  <c r="BV165" i="1"/>
  <c r="BV164" i="1"/>
  <c r="BV197" i="1"/>
  <c r="BV196" i="1"/>
  <c r="BV163" i="1"/>
  <c r="BV195" i="1"/>
  <c r="BV194" i="1"/>
  <c r="BV162" i="1"/>
  <c r="BV193" i="1"/>
  <c r="BV161" i="1"/>
  <c r="BV160" i="1"/>
  <c r="BV192" i="1"/>
  <c r="BV191" i="1"/>
  <c r="BV159" i="1"/>
  <c r="BV190" i="1"/>
  <c r="BV158" i="1"/>
  <c r="BV189" i="1"/>
  <c r="BV157" i="1"/>
  <c r="BV156" i="1"/>
  <c r="BV188" i="1"/>
  <c r="BV187" i="1"/>
  <c r="BV155" i="1"/>
  <c r="BV154" i="1"/>
  <c r="BV186" i="1"/>
  <c r="BV153" i="1"/>
  <c r="BV185" i="1"/>
  <c r="BV152" i="1"/>
  <c r="BV184" i="1"/>
  <c r="BV183" i="1"/>
  <c r="BV151" i="1"/>
  <c r="BV182" i="1"/>
  <c r="BV150" i="1"/>
  <c r="BV181" i="1"/>
  <c r="BV149" i="1"/>
  <c r="AM17" i="1"/>
  <c r="AB53" i="1" s="1"/>
  <c r="J5" i="8"/>
  <c r="J4" i="8"/>
  <c r="BO87" i="1"/>
  <c r="BO104" i="1"/>
  <c r="BO105" i="1"/>
  <c r="BO107" i="1"/>
  <c r="BO72" i="1"/>
  <c r="BN86" i="1" a="1"/>
  <c r="BN86" i="1" s="1"/>
  <c r="BN120" i="1" a="1"/>
  <c r="BN120" i="1" s="1"/>
  <c r="BN65" i="1" a="1"/>
  <c r="BN65" i="1" s="1"/>
  <c r="BN67" i="1" a="1"/>
  <c r="BN67" i="1" s="1"/>
  <c r="BN63" i="1" a="1"/>
  <c r="BN63" i="1" s="1"/>
  <c r="BN70" i="1" a="1"/>
  <c r="BN70" i="1" s="1"/>
  <c r="BN109" i="1" a="1"/>
  <c r="BN109" i="1" s="1"/>
  <c r="BN116" i="1" a="1"/>
  <c r="BN116" i="1" s="1"/>
  <c r="BN68" i="1" a="1"/>
  <c r="BN68" i="1" s="1"/>
  <c r="BN117" i="1" a="1"/>
  <c r="BN117" i="1" s="1"/>
  <c r="BN102" i="1" a="1"/>
  <c r="BN102" i="1" s="1"/>
  <c r="BN110" i="1" a="1"/>
  <c r="BN110" i="1" s="1"/>
  <c r="BN77" i="1" a="1"/>
  <c r="BN77" i="1" s="1"/>
  <c r="BN121" i="1" a="1"/>
  <c r="BN121" i="1" s="1"/>
  <c r="BN98" i="1" a="1"/>
  <c r="BN98" i="1" s="1"/>
  <c r="BN103" i="1" a="1"/>
  <c r="BN103" i="1" s="1"/>
  <c r="BN71" i="1" a="1"/>
  <c r="BN71" i="1" s="1"/>
  <c r="BN78" i="1" a="1"/>
  <c r="BN78" i="1" s="1"/>
  <c r="BN66" i="1" a="1"/>
  <c r="BN66" i="1" s="1"/>
  <c r="BN94" i="1" a="1"/>
  <c r="BN94" i="1" s="1"/>
  <c r="BN75" i="1" a="1"/>
  <c r="BN75" i="1" s="1"/>
  <c r="BN83" i="1" a="1"/>
  <c r="BN83" i="1" s="1"/>
  <c r="BN87" i="1" a="1"/>
  <c r="BN87" i="1"/>
  <c r="BN104" i="1" a="1"/>
  <c r="BN104" i="1" s="1"/>
  <c r="BN64" i="1" a="1"/>
  <c r="BN64" i="1" s="1"/>
  <c r="BN69" i="1" a="1"/>
  <c r="BN69" i="1" s="1"/>
  <c r="BN79" i="1" a="1"/>
  <c r="BN79" i="1" s="1"/>
  <c r="BN88" i="1" a="1"/>
  <c r="BN88" i="1" s="1"/>
  <c r="BN95" i="1" a="1"/>
  <c r="BN95" i="1" s="1"/>
  <c r="BN105" i="1" a="1"/>
  <c r="BN105" i="1" s="1"/>
  <c r="BN106" i="1" a="1"/>
  <c r="BN106" i="1" s="1"/>
  <c r="BN107" i="1" a="1"/>
  <c r="BN107" i="1" s="1"/>
  <c r="BN111" i="1" a="1"/>
  <c r="BN111" i="1" s="1"/>
  <c r="BN118" i="1" a="1"/>
  <c r="BN118" i="1" s="1"/>
  <c r="BN72" i="1" a="1"/>
  <c r="BN72" i="1" s="1"/>
  <c r="BN73" i="1" a="1"/>
  <c r="BN73" i="1" s="1"/>
  <c r="BN80" i="1" a="1"/>
  <c r="BN80" i="1" s="1"/>
  <c r="BN89" i="1" a="1"/>
  <c r="BN89" i="1" s="1"/>
  <c r="BN99" i="1" a="1"/>
  <c r="BN99" i="1" s="1"/>
  <c r="BN108" i="1" a="1"/>
  <c r="BN108" i="1" s="1"/>
  <c r="BN76" i="1" a="1"/>
  <c r="BN76" i="1" s="1"/>
  <c r="BN84" i="1" a="1"/>
  <c r="BN84" i="1" s="1"/>
  <c r="BN96" i="1" a="1"/>
  <c r="BN96" i="1" s="1"/>
  <c r="BN112" i="1" a="1"/>
  <c r="BN112" i="1" s="1"/>
  <c r="BN74" i="1" a="1"/>
  <c r="BN74" i="1" s="1"/>
  <c r="BN81" i="1" a="1"/>
  <c r="BN81" i="1" s="1"/>
  <c r="BN90" i="1" a="1"/>
  <c r="BN90" i="1" s="1"/>
  <c r="BN91" i="1" a="1"/>
  <c r="BN91" i="1" s="1"/>
  <c r="BN113" i="1" a="1"/>
  <c r="BN113" i="1" s="1"/>
  <c r="BN114" i="1" a="1"/>
  <c r="BN114" i="1" s="1"/>
  <c r="BN62" i="1" a="1"/>
  <c r="BN62" i="1" s="1"/>
  <c r="BN92" i="1" a="1"/>
  <c r="BN92" i="1" s="1"/>
  <c r="BN100" i="1" a="1"/>
  <c r="BN100" i="1"/>
  <c r="BN119" i="1" a="1"/>
  <c r="BN119" i="1"/>
  <c r="BN101" i="1" a="1"/>
  <c r="BN101" i="1" s="1"/>
  <c r="BN115" i="1" a="1"/>
  <c r="BN115" i="1" s="1"/>
  <c r="BN82" i="1" a="1"/>
  <c r="BN82" i="1" s="1"/>
  <c r="BN85" i="1" a="1"/>
  <c r="BN85" i="1" s="1"/>
  <c r="BN93" i="1" a="1"/>
  <c r="BN93" i="1" s="1"/>
  <c r="BN97" i="1" a="1"/>
  <c r="BN97" i="1"/>
  <c r="BM86" i="1" a="1"/>
  <c r="BM86" i="1" s="1"/>
  <c r="BM120" i="1" a="1"/>
  <c r="BM120" i="1" s="1"/>
  <c r="BM65" i="1" a="1"/>
  <c r="BM65" i="1" s="1"/>
  <c r="BM67" i="1" a="1"/>
  <c r="BM67" i="1" s="1"/>
  <c r="BM63" i="1" a="1"/>
  <c r="BM63" i="1"/>
  <c r="BM70" i="1" a="1"/>
  <c r="BM70" i="1" s="1"/>
  <c r="BM109" i="1" a="1"/>
  <c r="BM109" i="1" s="1"/>
  <c r="BM116" i="1" a="1"/>
  <c r="BM116" i="1" s="1"/>
  <c r="BM68" i="1" a="1"/>
  <c r="BM68" i="1" s="1"/>
  <c r="BM117" i="1" a="1"/>
  <c r="BM117" i="1" s="1"/>
  <c r="BM102" i="1" a="1"/>
  <c r="BM102" i="1" s="1"/>
  <c r="BM110" i="1" a="1"/>
  <c r="BM110" i="1"/>
  <c r="BM77" i="1" a="1"/>
  <c r="BM77" i="1" s="1"/>
  <c r="BM121" i="1" a="1"/>
  <c r="BM121" i="1" s="1"/>
  <c r="BM98" i="1" a="1"/>
  <c r="BM98" i="1" s="1"/>
  <c r="BM103" i="1" a="1"/>
  <c r="BM103" i="1" s="1"/>
  <c r="BM71" i="1" a="1"/>
  <c r="BM71" i="1" s="1"/>
  <c r="BM78" i="1" a="1"/>
  <c r="BM78" i="1" s="1"/>
  <c r="BM66" i="1" a="1"/>
  <c r="BM66" i="1" s="1"/>
  <c r="BM94" i="1" a="1"/>
  <c r="BM94" i="1" s="1"/>
  <c r="BM75" i="1" a="1"/>
  <c r="BM75" i="1"/>
  <c r="BM83" i="1" a="1"/>
  <c r="BM83" i="1"/>
  <c r="BM87" i="1" a="1"/>
  <c r="BM87" i="1" s="1"/>
  <c r="BM104" i="1" a="1"/>
  <c r="BM104" i="1" s="1"/>
  <c r="BM64" i="1" a="1"/>
  <c r="BM64" i="1" s="1"/>
  <c r="BM69" i="1" a="1"/>
  <c r="BM69" i="1" s="1"/>
  <c r="BM79" i="1" a="1"/>
  <c r="BM79" i="1" s="1"/>
  <c r="BM88" i="1" a="1"/>
  <c r="BM88" i="1" s="1"/>
  <c r="BM95" i="1" a="1"/>
  <c r="BM95" i="1" s="1"/>
  <c r="BM105" i="1" a="1"/>
  <c r="BM105" i="1" s="1"/>
  <c r="BM106" i="1" a="1"/>
  <c r="BM106" i="1" s="1"/>
  <c r="BM107" i="1" a="1"/>
  <c r="BM107" i="1" s="1"/>
  <c r="BM111" i="1" a="1"/>
  <c r="BM111" i="1" s="1"/>
  <c r="BM118" i="1" a="1"/>
  <c r="BM118" i="1" s="1"/>
  <c r="BM72" i="1" a="1"/>
  <c r="BM72" i="1" s="1"/>
  <c r="BM73" i="1" a="1"/>
  <c r="BM73" i="1" s="1"/>
  <c r="BM80" i="1" a="1"/>
  <c r="BM80" i="1" s="1"/>
  <c r="BM89" i="1" a="1"/>
  <c r="BM89" i="1" s="1"/>
  <c r="BM99" i="1" a="1"/>
  <c r="BM99" i="1" s="1"/>
  <c r="BM108" i="1" a="1"/>
  <c r="BM108" i="1" s="1"/>
  <c r="BM76" i="1" a="1"/>
  <c r="BM76" i="1" s="1"/>
  <c r="BM84" i="1" a="1"/>
  <c r="BM84" i="1" s="1"/>
  <c r="BM96" i="1" a="1"/>
  <c r="BM96" i="1" s="1"/>
  <c r="BM112" i="1" a="1"/>
  <c r="BM112" i="1" s="1"/>
  <c r="BM74" i="1" a="1"/>
  <c r="BM74" i="1" s="1"/>
  <c r="BM81" i="1" a="1"/>
  <c r="BM81" i="1" s="1"/>
  <c r="BM90" i="1" a="1"/>
  <c r="BM90" i="1" s="1"/>
  <c r="BM91" i="1" a="1"/>
  <c r="BM91" i="1" s="1"/>
  <c r="BM113" i="1" a="1"/>
  <c r="BM113" i="1" s="1"/>
  <c r="BM114" i="1" a="1"/>
  <c r="BM114" i="1" s="1"/>
  <c r="BM62" i="1" a="1"/>
  <c r="BM62" i="1" s="1"/>
  <c r="BM92" i="1" a="1"/>
  <c r="BM92" i="1" s="1"/>
  <c r="BM100" i="1" a="1"/>
  <c r="BM100" i="1" s="1"/>
  <c r="BM119" i="1" a="1"/>
  <c r="BM119" i="1" s="1"/>
  <c r="BM101" i="1" a="1"/>
  <c r="BM101" i="1" s="1"/>
  <c r="BM115" i="1" a="1"/>
  <c r="BM115" i="1" s="1"/>
  <c r="BM82" i="1" a="1"/>
  <c r="BM82" i="1" s="1"/>
  <c r="BM85" i="1" a="1"/>
  <c r="BM85" i="1" s="1"/>
  <c r="BM93" i="1" a="1"/>
  <c r="BM93" i="1" s="1"/>
  <c r="BM97" i="1" a="1"/>
  <c r="BM97" i="1" s="1"/>
  <c r="BL86" i="1" a="1"/>
  <c r="BL86" i="1" s="1"/>
  <c r="BL120" i="1" a="1"/>
  <c r="BL120" i="1" s="1"/>
  <c r="BL65" i="1" a="1"/>
  <c r="BL65" i="1" s="1"/>
  <c r="BL67" i="1" a="1"/>
  <c r="BL67" i="1" s="1"/>
  <c r="BL63" i="1" a="1"/>
  <c r="BL63" i="1" s="1"/>
  <c r="BL70" i="1" a="1"/>
  <c r="BL70" i="1" s="1"/>
  <c r="BL109" i="1" a="1"/>
  <c r="BL109" i="1" s="1"/>
  <c r="BL116" i="1" a="1"/>
  <c r="BL116" i="1" s="1"/>
  <c r="BL68" i="1" a="1"/>
  <c r="BL68" i="1" s="1"/>
  <c r="BL117" i="1" a="1"/>
  <c r="BL117" i="1" s="1"/>
  <c r="BL102" i="1" a="1"/>
  <c r="BL102" i="1" s="1"/>
  <c r="BL110" i="1" a="1"/>
  <c r="BL110" i="1" s="1"/>
  <c r="BL77" i="1" a="1"/>
  <c r="BL77" i="1" s="1"/>
  <c r="BL121" i="1" a="1"/>
  <c r="BL121" i="1" s="1"/>
  <c r="BL98" i="1" a="1"/>
  <c r="BL98" i="1" s="1"/>
  <c r="BL103" i="1" a="1"/>
  <c r="BL103" i="1" s="1"/>
  <c r="BL71" i="1" a="1"/>
  <c r="BL71" i="1" s="1"/>
  <c r="BL78" i="1" a="1"/>
  <c r="BL78" i="1" s="1"/>
  <c r="BL66" i="1" a="1"/>
  <c r="BL66" i="1" s="1"/>
  <c r="BL94" i="1" a="1"/>
  <c r="BL94" i="1" s="1"/>
  <c r="BL75" i="1" a="1"/>
  <c r="BL75" i="1" s="1"/>
  <c r="BL83" i="1" a="1"/>
  <c r="BL83" i="1" s="1"/>
  <c r="BL87" i="1" a="1"/>
  <c r="BL87" i="1" s="1"/>
  <c r="BL104" i="1" a="1"/>
  <c r="BL104" i="1" s="1"/>
  <c r="BL64" i="1" a="1"/>
  <c r="BL64" i="1" s="1"/>
  <c r="BL69" i="1" a="1"/>
  <c r="BL69" i="1" s="1"/>
  <c r="BL79" i="1" a="1"/>
  <c r="BL79" i="1" s="1"/>
  <c r="BL88" i="1" a="1"/>
  <c r="BL88" i="1" s="1"/>
  <c r="BL95" i="1" a="1"/>
  <c r="BL95" i="1" s="1"/>
  <c r="BL105" i="1" a="1"/>
  <c r="BL105" i="1" s="1"/>
  <c r="BL106" i="1" a="1"/>
  <c r="BL106" i="1" s="1"/>
  <c r="BL107" i="1" a="1"/>
  <c r="BL107" i="1" s="1"/>
  <c r="BL111" i="1" a="1"/>
  <c r="BL111" i="1" s="1"/>
  <c r="BL118" i="1" a="1"/>
  <c r="BL118" i="1" s="1"/>
  <c r="BL72" i="1" a="1"/>
  <c r="BL72" i="1" s="1"/>
  <c r="BL73" i="1" a="1"/>
  <c r="BL73" i="1" s="1"/>
  <c r="BL80" i="1" a="1"/>
  <c r="BL80" i="1" s="1"/>
  <c r="BL89" i="1" a="1"/>
  <c r="BL89" i="1" s="1"/>
  <c r="BL99" i="1" a="1"/>
  <c r="BL99" i="1" s="1"/>
  <c r="BL108" i="1" a="1"/>
  <c r="BL108" i="1" s="1"/>
  <c r="BL76" i="1" a="1"/>
  <c r="BL76" i="1" s="1"/>
  <c r="BL84" i="1" a="1"/>
  <c r="BL84" i="1" s="1"/>
  <c r="BL96" i="1" a="1"/>
  <c r="BL96" i="1" s="1"/>
  <c r="BL112" i="1" a="1"/>
  <c r="BL112" i="1" s="1"/>
  <c r="BL74" i="1" a="1"/>
  <c r="BL74" i="1" s="1"/>
  <c r="BL81" i="1" a="1"/>
  <c r="BL81" i="1" s="1"/>
  <c r="BL90" i="1" a="1"/>
  <c r="BL90" i="1" s="1"/>
  <c r="BL91" i="1" a="1"/>
  <c r="BL91" i="1" s="1"/>
  <c r="BL113" i="1" a="1"/>
  <c r="BL113" i="1" s="1"/>
  <c r="BL114" i="1" a="1"/>
  <c r="BL114" i="1" s="1"/>
  <c r="BL62" i="1" a="1"/>
  <c r="BL62" i="1" s="1"/>
  <c r="BL92" i="1" a="1"/>
  <c r="BL92" i="1" s="1"/>
  <c r="BL100" i="1" a="1"/>
  <c r="BL100" i="1" s="1"/>
  <c r="BL119" i="1" a="1"/>
  <c r="BL119" i="1" s="1"/>
  <c r="BL101" i="1" a="1"/>
  <c r="BL101" i="1" s="1"/>
  <c r="BL115" i="1" a="1"/>
  <c r="BL115" i="1" s="1"/>
  <c r="BL82" i="1" a="1"/>
  <c r="BL82" i="1" s="1"/>
  <c r="BL85" i="1" a="1"/>
  <c r="BL85" i="1"/>
  <c r="BL93" i="1" a="1"/>
  <c r="BL93" i="1" s="1"/>
  <c r="BL97" i="1" a="1"/>
  <c r="BL97" i="1" s="1"/>
  <c r="BK86" i="1" a="1"/>
  <c r="BK86" i="1" s="1"/>
  <c r="BK120" i="1" a="1"/>
  <c r="BK120" i="1" s="1"/>
  <c r="BK65" i="1" a="1"/>
  <c r="BK65" i="1" s="1"/>
  <c r="BK67" i="1" a="1"/>
  <c r="BK67" i="1" s="1"/>
  <c r="BK63" i="1" a="1"/>
  <c r="BK63" i="1" s="1"/>
  <c r="BK70" i="1" a="1"/>
  <c r="BK70" i="1" s="1"/>
  <c r="BK109" i="1" a="1"/>
  <c r="BK109" i="1" s="1"/>
  <c r="BK116" i="1" a="1"/>
  <c r="BK116" i="1" s="1"/>
  <c r="BK68" i="1" a="1"/>
  <c r="BK68" i="1" s="1"/>
  <c r="BK117" i="1" a="1"/>
  <c r="BK117" i="1" s="1"/>
  <c r="BK102" i="1" a="1"/>
  <c r="BK102" i="1" s="1"/>
  <c r="BK110" i="1" a="1"/>
  <c r="BK110" i="1" s="1"/>
  <c r="BK77" i="1" a="1"/>
  <c r="BK77" i="1" s="1"/>
  <c r="BK121" i="1" a="1"/>
  <c r="BK121" i="1" s="1"/>
  <c r="BK98" i="1" a="1"/>
  <c r="BK98" i="1" s="1"/>
  <c r="BK103" i="1" a="1"/>
  <c r="BK103" i="1" s="1"/>
  <c r="BK71" i="1" a="1"/>
  <c r="BK71" i="1" s="1"/>
  <c r="BK78" i="1" a="1"/>
  <c r="BK78" i="1" s="1"/>
  <c r="BK66" i="1" a="1"/>
  <c r="BK66" i="1" s="1"/>
  <c r="BK94" i="1" a="1"/>
  <c r="BK94" i="1"/>
  <c r="BK75" i="1" a="1"/>
  <c r="BK75" i="1" s="1"/>
  <c r="BK83" i="1" a="1"/>
  <c r="BK83" i="1" s="1"/>
  <c r="BK87" i="1" a="1"/>
  <c r="BK87" i="1" s="1"/>
  <c r="BK104" i="1" a="1"/>
  <c r="BK104" i="1" s="1"/>
  <c r="BK64" i="1" a="1"/>
  <c r="BK64" i="1" s="1"/>
  <c r="BK69" i="1" a="1"/>
  <c r="BK69" i="1" s="1"/>
  <c r="BK79" i="1" a="1"/>
  <c r="BK79" i="1" s="1"/>
  <c r="BK88" i="1" a="1"/>
  <c r="BK88" i="1"/>
  <c r="BK95" i="1" a="1"/>
  <c r="BK95" i="1" s="1"/>
  <c r="BK105" i="1" a="1"/>
  <c r="BK105" i="1" s="1"/>
  <c r="BK106" i="1" a="1"/>
  <c r="BK106" i="1" s="1"/>
  <c r="BK107" i="1" a="1"/>
  <c r="BK107" i="1" s="1"/>
  <c r="BK111" i="1" a="1"/>
  <c r="BK111" i="1" s="1"/>
  <c r="BK118" i="1" a="1"/>
  <c r="BK118" i="1" s="1"/>
  <c r="BK72" i="1" a="1"/>
  <c r="BK72" i="1" s="1"/>
  <c r="BK73" i="1" a="1"/>
  <c r="BK73" i="1" s="1"/>
  <c r="BK80" i="1" a="1"/>
  <c r="BK80" i="1" s="1"/>
  <c r="BK89" i="1" a="1"/>
  <c r="BK89" i="1" s="1"/>
  <c r="BK99" i="1" a="1"/>
  <c r="BK99" i="1" s="1"/>
  <c r="BK108" i="1" a="1"/>
  <c r="BK108" i="1" s="1"/>
  <c r="BK76" i="1" a="1"/>
  <c r="BK76" i="1" s="1"/>
  <c r="BK84" i="1" a="1"/>
  <c r="BK84" i="1" s="1"/>
  <c r="BK96" i="1" a="1"/>
  <c r="BK96" i="1" s="1"/>
  <c r="BK112" i="1" a="1"/>
  <c r="BK112" i="1" s="1"/>
  <c r="BK74" i="1" a="1"/>
  <c r="BK74" i="1" s="1"/>
  <c r="BK81" i="1" a="1"/>
  <c r="BK81" i="1" s="1"/>
  <c r="BK90" i="1" a="1"/>
  <c r="BK90" i="1" s="1"/>
  <c r="BK91" i="1" a="1"/>
  <c r="BK91" i="1"/>
  <c r="BK113" i="1" a="1"/>
  <c r="BK113" i="1" s="1"/>
  <c r="BK114" i="1" a="1"/>
  <c r="BK114" i="1" s="1"/>
  <c r="BK62" i="1" a="1"/>
  <c r="BK62" i="1" s="1"/>
  <c r="BK92" i="1" a="1"/>
  <c r="BK92" i="1" s="1"/>
  <c r="BK100" i="1" a="1"/>
  <c r="BK100" i="1" s="1"/>
  <c r="BK119" i="1" a="1"/>
  <c r="BK119" i="1" s="1"/>
  <c r="BK101" i="1" a="1"/>
  <c r="BK101" i="1" s="1"/>
  <c r="BK115" i="1" a="1"/>
  <c r="BK115" i="1" s="1"/>
  <c r="BK82" i="1" a="1"/>
  <c r="BK82" i="1" s="1"/>
  <c r="BK85" i="1" a="1"/>
  <c r="BK85" i="1" s="1"/>
  <c r="BK93" i="1" a="1"/>
  <c r="BK93" i="1"/>
  <c r="BK97" i="1" a="1"/>
  <c r="BK97" i="1" s="1"/>
  <c r="BJ86" i="1" a="1"/>
  <c r="BJ86" i="1" s="1"/>
  <c r="BJ120" i="1" a="1"/>
  <c r="BJ120" i="1" s="1"/>
  <c r="BJ65" i="1" a="1"/>
  <c r="BJ65" i="1" s="1"/>
  <c r="BJ67" i="1" a="1"/>
  <c r="BJ67" i="1" s="1"/>
  <c r="BJ63" i="1" a="1"/>
  <c r="BJ63" i="1" s="1"/>
  <c r="BJ70" i="1" a="1"/>
  <c r="BJ70" i="1" s="1"/>
  <c r="BJ109" i="1" a="1"/>
  <c r="BJ109" i="1" s="1"/>
  <c r="BJ116" i="1" a="1"/>
  <c r="BJ116" i="1" s="1"/>
  <c r="BJ68" i="1" a="1"/>
  <c r="BJ68" i="1" s="1"/>
  <c r="BJ117" i="1" a="1"/>
  <c r="BJ117" i="1" s="1"/>
  <c r="BJ102" i="1" a="1"/>
  <c r="BJ102" i="1" s="1"/>
  <c r="BJ110" i="1" a="1"/>
  <c r="BJ110" i="1" s="1"/>
  <c r="BJ77" i="1" a="1"/>
  <c r="BJ77" i="1" s="1"/>
  <c r="BJ121" i="1" a="1"/>
  <c r="BJ121" i="1" s="1"/>
  <c r="BJ98" i="1" a="1"/>
  <c r="BJ98" i="1" s="1"/>
  <c r="BJ103" i="1" a="1"/>
  <c r="BJ103" i="1" s="1"/>
  <c r="BJ71" i="1" a="1"/>
  <c r="BJ71" i="1" s="1"/>
  <c r="BJ78" i="1" a="1"/>
  <c r="BJ78" i="1" s="1"/>
  <c r="BJ66" i="1" a="1"/>
  <c r="BJ66" i="1" s="1"/>
  <c r="BJ94" i="1" a="1"/>
  <c r="BJ94" i="1" s="1"/>
  <c r="BJ75" i="1" a="1"/>
  <c r="BJ75" i="1" s="1"/>
  <c r="BJ83" i="1" a="1"/>
  <c r="BJ83" i="1" s="1"/>
  <c r="BJ87" i="1" a="1"/>
  <c r="BJ87" i="1" s="1"/>
  <c r="BJ104" i="1" a="1"/>
  <c r="BJ104" i="1" s="1"/>
  <c r="BJ64" i="1" a="1"/>
  <c r="BJ64" i="1" s="1"/>
  <c r="BJ69" i="1" a="1"/>
  <c r="BJ69" i="1" s="1"/>
  <c r="BJ79" i="1" a="1"/>
  <c r="BJ79" i="1" s="1"/>
  <c r="BJ88" i="1" a="1"/>
  <c r="BJ88" i="1" s="1"/>
  <c r="BJ95" i="1" a="1"/>
  <c r="BJ95" i="1" s="1"/>
  <c r="BJ105" i="1" a="1"/>
  <c r="BJ105" i="1" s="1"/>
  <c r="BJ106" i="1" a="1"/>
  <c r="BJ106" i="1" s="1"/>
  <c r="BJ107" i="1" a="1"/>
  <c r="BJ107" i="1" s="1"/>
  <c r="BJ111" i="1" a="1"/>
  <c r="BJ111" i="1" s="1"/>
  <c r="BJ118" i="1" a="1"/>
  <c r="BJ118" i="1" s="1"/>
  <c r="BJ72" i="1" a="1"/>
  <c r="BJ72" i="1" s="1"/>
  <c r="BJ73" i="1" a="1"/>
  <c r="BJ73" i="1" s="1"/>
  <c r="BJ80" i="1" a="1"/>
  <c r="BJ80" i="1" s="1"/>
  <c r="BJ89" i="1" a="1"/>
  <c r="BJ89" i="1" s="1"/>
  <c r="BJ99" i="1" a="1"/>
  <c r="BJ99" i="1" s="1"/>
  <c r="BJ108" i="1" a="1"/>
  <c r="BJ108" i="1" s="1"/>
  <c r="BJ76" i="1" a="1"/>
  <c r="BJ76" i="1" s="1"/>
  <c r="BJ84" i="1" a="1"/>
  <c r="BJ84" i="1" s="1"/>
  <c r="BJ96" i="1" a="1"/>
  <c r="BJ96" i="1" s="1"/>
  <c r="BJ112" i="1" a="1"/>
  <c r="BJ112" i="1" s="1"/>
  <c r="BJ74" i="1" a="1"/>
  <c r="BJ74" i="1" s="1"/>
  <c r="BJ81" i="1" a="1"/>
  <c r="BJ81" i="1" s="1"/>
  <c r="BJ90" i="1" a="1"/>
  <c r="BJ90" i="1" s="1"/>
  <c r="BJ91" i="1" a="1"/>
  <c r="BJ91" i="1" s="1"/>
  <c r="BJ113" i="1" a="1"/>
  <c r="BJ113" i="1" s="1"/>
  <c r="BJ114" i="1" a="1"/>
  <c r="BJ114" i="1" s="1"/>
  <c r="BJ62" i="1" a="1"/>
  <c r="BJ62" i="1" s="1"/>
  <c r="BJ92" i="1" a="1"/>
  <c r="BJ92" i="1" s="1"/>
  <c r="BJ100" i="1" a="1"/>
  <c r="BJ100" i="1" s="1"/>
  <c r="BJ119" i="1" a="1"/>
  <c r="BJ119" i="1" s="1"/>
  <c r="BJ101" i="1" a="1"/>
  <c r="BJ101" i="1" s="1"/>
  <c r="BJ115" i="1" a="1"/>
  <c r="BJ115" i="1" s="1"/>
  <c r="BJ82" i="1" a="1"/>
  <c r="BJ82" i="1" s="1"/>
  <c r="BJ85" i="1" a="1"/>
  <c r="BJ85" i="1" s="1"/>
  <c r="BJ93" i="1" a="1"/>
  <c r="BJ93" i="1" s="1"/>
  <c r="BJ97" i="1" a="1"/>
  <c r="BJ97" i="1" s="1"/>
  <c r="BI86" i="1" a="1"/>
  <c r="BI86" i="1" s="1"/>
  <c r="BI120" i="1" a="1"/>
  <c r="BI120" i="1" s="1"/>
  <c r="BI65" i="1" a="1"/>
  <c r="BI65" i="1" s="1"/>
  <c r="BI67" i="1" a="1"/>
  <c r="BI67" i="1" s="1"/>
  <c r="BI63" i="1" a="1"/>
  <c r="BI63" i="1" s="1"/>
  <c r="BI70" i="1" a="1"/>
  <c r="BI70" i="1" s="1"/>
  <c r="BI109" i="1" a="1"/>
  <c r="BI109" i="1" s="1"/>
  <c r="BI116" i="1" a="1"/>
  <c r="BI116" i="1" s="1"/>
  <c r="BI68" i="1" a="1"/>
  <c r="BI68" i="1" s="1"/>
  <c r="BI117" i="1" a="1"/>
  <c r="BI117" i="1" s="1"/>
  <c r="BI102" i="1" a="1"/>
  <c r="BI102" i="1" s="1"/>
  <c r="BI110" i="1" a="1"/>
  <c r="BI110" i="1" s="1"/>
  <c r="BI77" i="1" a="1"/>
  <c r="BI77" i="1" s="1"/>
  <c r="BI121" i="1" a="1"/>
  <c r="BI121" i="1" s="1"/>
  <c r="BI98" i="1" a="1"/>
  <c r="BI98" i="1" s="1"/>
  <c r="BI103" i="1" a="1"/>
  <c r="BI103" i="1" s="1"/>
  <c r="BI71" i="1" a="1"/>
  <c r="BI71" i="1" s="1"/>
  <c r="BI78" i="1" a="1"/>
  <c r="BI78" i="1" s="1"/>
  <c r="BI66" i="1" a="1"/>
  <c r="BI66" i="1" s="1"/>
  <c r="BI94" i="1" a="1"/>
  <c r="BI94" i="1" s="1"/>
  <c r="BI75" i="1" a="1"/>
  <c r="BI75" i="1" s="1"/>
  <c r="BI83" i="1" a="1"/>
  <c r="BI83" i="1" s="1"/>
  <c r="BI87" i="1" a="1"/>
  <c r="BI87" i="1" s="1"/>
  <c r="BI104" i="1" a="1"/>
  <c r="BI104" i="1" s="1"/>
  <c r="BI64" i="1" a="1"/>
  <c r="BI64" i="1" s="1"/>
  <c r="BI69" i="1" a="1"/>
  <c r="BI69" i="1" s="1"/>
  <c r="BI79" i="1" a="1"/>
  <c r="BI79" i="1" s="1"/>
  <c r="BI88" i="1" a="1"/>
  <c r="BI88" i="1" s="1"/>
  <c r="BI95" i="1" a="1"/>
  <c r="BI95" i="1" s="1"/>
  <c r="BI105" i="1" a="1"/>
  <c r="BI105" i="1" s="1"/>
  <c r="BI106" i="1" a="1"/>
  <c r="BI106" i="1" s="1"/>
  <c r="BI107" i="1" a="1"/>
  <c r="BI107" i="1" s="1"/>
  <c r="BI111" i="1" a="1"/>
  <c r="BI111" i="1" s="1"/>
  <c r="BI118" i="1" a="1"/>
  <c r="BI118" i="1" s="1"/>
  <c r="BI72" i="1" a="1"/>
  <c r="BI72" i="1" s="1"/>
  <c r="BI73" i="1" a="1"/>
  <c r="BI73" i="1" s="1"/>
  <c r="BI80" i="1" a="1"/>
  <c r="BI80" i="1" s="1"/>
  <c r="BI89" i="1" a="1"/>
  <c r="BI89" i="1" s="1"/>
  <c r="BI99" i="1" a="1"/>
  <c r="BI99" i="1" s="1"/>
  <c r="BI108" i="1" a="1"/>
  <c r="BI108" i="1" s="1"/>
  <c r="BI76" i="1" a="1"/>
  <c r="BI76" i="1" s="1"/>
  <c r="BI84" i="1" a="1"/>
  <c r="BI84" i="1" s="1"/>
  <c r="BI96" i="1" a="1"/>
  <c r="BI96" i="1" s="1"/>
  <c r="BI112" i="1" a="1"/>
  <c r="BI112" i="1" s="1"/>
  <c r="BI74" i="1" a="1"/>
  <c r="BI74" i="1" s="1"/>
  <c r="BI81" i="1" a="1"/>
  <c r="BI81" i="1" s="1"/>
  <c r="BI90" i="1" a="1"/>
  <c r="BI90" i="1" s="1"/>
  <c r="BI91" i="1" a="1"/>
  <c r="BI91" i="1" s="1"/>
  <c r="BI113" i="1" a="1"/>
  <c r="BI113" i="1" s="1"/>
  <c r="BI114" i="1" a="1"/>
  <c r="BI114" i="1" s="1"/>
  <c r="BI62" i="1" a="1"/>
  <c r="BI62" i="1" s="1"/>
  <c r="BI92" i="1" a="1"/>
  <c r="BI92" i="1" s="1"/>
  <c r="BI100" i="1" a="1"/>
  <c r="BI100" i="1" s="1"/>
  <c r="BI119" i="1" a="1"/>
  <c r="BI119" i="1" s="1"/>
  <c r="BI101" i="1" a="1"/>
  <c r="BI101" i="1" s="1"/>
  <c r="BI115" i="1" a="1"/>
  <c r="BI115" i="1" s="1"/>
  <c r="BI82" i="1" a="1"/>
  <c r="BI82" i="1" s="1"/>
  <c r="BI85" i="1" a="1"/>
  <c r="BI85" i="1" s="1"/>
  <c r="BI93" i="1" a="1"/>
  <c r="BI93" i="1" s="1"/>
  <c r="BI97" i="1" a="1"/>
  <c r="BI97" i="1" s="1"/>
  <c r="BH86" i="1" a="1"/>
  <c r="BH86" i="1" s="1"/>
  <c r="BH120" i="1" a="1"/>
  <c r="BH120" i="1" s="1"/>
  <c r="BH65" i="1" a="1"/>
  <c r="BH65" i="1" s="1"/>
  <c r="BH67" i="1" a="1"/>
  <c r="BH67" i="1" s="1"/>
  <c r="BH63" i="1" a="1"/>
  <c r="BH63" i="1" s="1"/>
  <c r="BH70" i="1" a="1"/>
  <c r="BH70" i="1"/>
  <c r="BH109" i="1" a="1"/>
  <c r="BH109" i="1" s="1"/>
  <c r="BH116" i="1" a="1"/>
  <c r="BH116" i="1" s="1"/>
  <c r="BH68" i="1" a="1"/>
  <c r="BH68" i="1" s="1"/>
  <c r="BH117" i="1" a="1"/>
  <c r="BH117" i="1" s="1"/>
  <c r="BH102" i="1" a="1"/>
  <c r="BH102" i="1" s="1"/>
  <c r="BH110" i="1" a="1"/>
  <c r="BH110" i="1" s="1"/>
  <c r="BH77" i="1" a="1"/>
  <c r="BH77" i="1" s="1"/>
  <c r="BH121" i="1" a="1"/>
  <c r="BH121" i="1" s="1"/>
  <c r="BH98" i="1" a="1"/>
  <c r="BH98" i="1" s="1"/>
  <c r="BH103" i="1" a="1"/>
  <c r="BH103" i="1" s="1"/>
  <c r="BH71" i="1" a="1"/>
  <c r="BH71" i="1" s="1"/>
  <c r="BH78" i="1" a="1"/>
  <c r="BH78" i="1" s="1"/>
  <c r="BH66" i="1" a="1"/>
  <c r="BH66" i="1" s="1"/>
  <c r="BH94" i="1" a="1"/>
  <c r="BH94" i="1" s="1"/>
  <c r="BH75" i="1" a="1"/>
  <c r="BH75" i="1" s="1"/>
  <c r="BH83" i="1" a="1"/>
  <c r="BH83" i="1" s="1"/>
  <c r="BH87" i="1" a="1"/>
  <c r="BH87" i="1" s="1"/>
  <c r="BH104" i="1" a="1"/>
  <c r="BH104" i="1" s="1"/>
  <c r="BH64" i="1" a="1"/>
  <c r="BH64" i="1" s="1"/>
  <c r="BH69" i="1" a="1"/>
  <c r="BH69" i="1" s="1"/>
  <c r="BH79" i="1" a="1"/>
  <c r="BH79" i="1" s="1"/>
  <c r="BH88" i="1" a="1"/>
  <c r="BH88" i="1" s="1"/>
  <c r="BH95" i="1" a="1"/>
  <c r="BH95" i="1" s="1"/>
  <c r="BH105" i="1" a="1"/>
  <c r="BH105" i="1" s="1"/>
  <c r="BH106" i="1" a="1"/>
  <c r="BH106" i="1" s="1"/>
  <c r="BH107" i="1" a="1"/>
  <c r="BH107" i="1" s="1"/>
  <c r="BH111" i="1" a="1"/>
  <c r="BH111" i="1" s="1"/>
  <c r="BH118" i="1" a="1"/>
  <c r="BH118" i="1" s="1"/>
  <c r="BH72" i="1" a="1"/>
  <c r="BH72" i="1" s="1"/>
  <c r="BH73" i="1" a="1"/>
  <c r="BH73" i="1" s="1"/>
  <c r="BH80" i="1" a="1"/>
  <c r="BH80" i="1" s="1"/>
  <c r="BH89" i="1" a="1"/>
  <c r="BH89" i="1" s="1"/>
  <c r="BH99" i="1" a="1"/>
  <c r="BH99" i="1" s="1"/>
  <c r="BH108" i="1" a="1"/>
  <c r="BH108" i="1" s="1"/>
  <c r="BH76" i="1" a="1"/>
  <c r="BH76" i="1" s="1"/>
  <c r="BH84" i="1" a="1"/>
  <c r="BH84" i="1" s="1"/>
  <c r="BH96" i="1" a="1"/>
  <c r="BH96" i="1" s="1"/>
  <c r="BH112" i="1" a="1"/>
  <c r="BH112" i="1" s="1"/>
  <c r="BH74" i="1" a="1"/>
  <c r="BH74" i="1" s="1"/>
  <c r="BH81" i="1" a="1"/>
  <c r="BH81" i="1" s="1"/>
  <c r="BH90" i="1" a="1"/>
  <c r="BH90" i="1" s="1"/>
  <c r="BH91" i="1" a="1"/>
  <c r="BH91" i="1" s="1"/>
  <c r="BH113" i="1" a="1"/>
  <c r="BH113" i="1" s="1"/>
  <c r="BH114" i="1" a="1"/>
  <c r="BH114" i="1" s="1"/>
  <c r="BH62" i="1" a="1"/>
  <c r="BH62" i="1" s="1"/>
  <c r="BH92" i="1" a="1"/>
  <c r="BH92" i="1" s="1"/>
  <c r="BH100" i="1" a="1"/>
  <c r="BH100" i="1" s="1"/>
  <c r="BH119" i="1" a="1"/>
  <c r="BH119" i="1" s="1"/>
  <c r="BH101" i="1" a="1"/>
  <c r="BH101" i="1" s="1"/>
  <c r="BH115" i="1" a="1"/>
  <c r="BH115" i="1" s="1"/>
  <c r="BH82" i="1" a="1"/>
  <c r="BH82" i="1" s="1"/>
  <c r="BH85" i="1" a="1"/>
  <c r="BH85" i="1" s="1"/>
  <c r="BH93" i="1" a="1"/>
  <c r="BH93" i="1" s="1"/>
  <c r="BH97" i="1" a="1"/>
  <c r="BH97" i="1" s="1"/>
  <c r="BG97" i="1"/>
  <c r="BO97" i="1" s="1"/>
  <c r="BG93" i="1"/>
  <c r="BO93" i="1" s="1"/>
  <c r="BG85" i="1"/>
  <c r="BO85" i="1" s="1"/>
  <c r="BG82" i="1"/>
  <c r="BO82" i="1" s="1"/>
  <c r="BG115" i="1"/>
  <c r="BO115" i="1" s="1"/>
  <c r="BG101" i="1"/>
  <c r="BO101" i="1" s="1"/>
  <c r="BG119" i="1"/>
  <c r="BO119" i="1" s="1"/>
  <c r="BG100" i="1"/>
  <c r="BO100" i="1" s="1"/>
  <c r="BG92" i="1"/>
  <c r="BO92" i="1" s="1"/>
  <c r="BG62" i="1"/>
  <c r="BO62" i="1" s="1"/>
  <c r="BG114" i="1"/>
  <c r="BO114" i="1" s="1"/>
  <c r="BG113" i="1"/>
  <c r="BO113" i="1" s="1"/>
  <c r="BG91" i="1"/>
  <c r="BO91" i="1" s="1"/>
  <c r="BG90" i="1"/>
  <c r="BO90" i="1" s="1"/>
  <c r="BG81" i="1"/>
  <c r="BO81" i="1" s="1"/>
  <c r="BG74" i="1"/>
  <c r="BO74" i="1" s="1"/>
  <c r="BG112" i="1"/>
  <c r="BO112" i="1" s="1"/>
  <c r="BG96" i="1"/>
  <c r="BO96" i="1" s="1"/>
  <c r="BG84" i="1"/>
  <c r="BO84" i="1" s="1"/>
  <c r="BG76" i="1"/>
  <c r="BO76" i="1" s="1"/>
  <c r="BG108" i="1"/>
  <c r="BO108" i="1" s="1"/>
  <c r="AN108" i="1"/>
  <c r="BG99" i="1"/>
  <c r="BO99" i="1" s="1"/>
  <c r="BG89" i="1"/>
  <c r="BO89" i="1" s="1"/>
  <c r="BG80" i="1"/>
  <c r="BO80" i="1" s="1"/>
  <c r="BG73" i="1"/>
  <c r="BO73" i="1" s="1"/>
  <c r="BG72" i="1"/>
  <c r="BG118" i="1"/>
  <c r="BO118" i="1" s="1"/>
  <c r="BG111" i="1"/>
  <c r="BO111" i="1" s="1"/>
  <c r="BG107" i="1"/>
  <c r="BG106" i="1"/>
  <c r="BO106" i="1" s="1"/>
  <c r="BG105" i="1"/>
  <c r="BG95" i="1"/>
  <c r="BO95" i="1" s="1"/>
  <c r="BG88" i="1"/>
  <c r="BO88" i="1" s="1"/>
  <c r="BG79" i="1"/>
  <c r="BO79" i="1" s="1"/>
  <c r="BG69" i="1"/>
  <c r="BO69" i="1" s="1"/>
  <c r="BG64" i="1"/>
  <c r="BO64" i="1" s="1"/>
  <c r="BG104" i="1"/>
  <c r="BG87" i="1"/>
  <c r="BG83" i="1"/>
  <c r="BO83" i="1" s="1"/>
  <c r="BG75" i="1"/>
  <c r="BO75" i="1" s="1"/>
  <c r="BG94" i="1"/>
  <c r="BO94" i="1" s="1"/>
  <c r="BG66" i="1"/>
  <c r="BO66" i="1" s="1"/>
  <c r="BG78" i="1"/>
  <c r="BO78" i="1" s="1"/>
  <c r="BG71" i="1"/>
  <c r="BO71" i="1" s="1"/>
  <c r="BG103" i="1"/>
  <c r="BO103" i="1" s="1"/>
  <c r="BG98" i="1"/>
  <c r="BO98" i="1" s="1"/>
  <c r="BG121" i="1"/>
  <c r="BO121" i="1" s="1"/>
  <c r="BG77" i="1"/>
  <c r="BO77" i="1" s="1"/>
  <c r="BG110" i="1"/>
  <c r="BO110" i="1" s="1"/>
  <c r="BG102" i="1"/>
  <c r="BO102" i="1" s="1"/>
  <c r="BG117" i="1"/>
  <c r="BO117" i="1" s="1"/>
  <c r="BG68" i="1"/>
  <c r="BO68" i="1" s="1"/>
  <c r="BG116" i="1"/>
  <c r="BO116" i="1" s="1"/>
  <c r="BG109" i="1"/>
  <c r="BO109" i="1" s="1"/>
  <c r="BG70" i="1"/>
  <c r="BO70" i="1" s="1"/>
  <c r="BG63" i="1"/>
  <c r="BO63" i="1" s="1"/>
  <c r="BG67" i="1"/>
  <c r="BO67" i="1" s="1"/>
  <c r="BG65" i="1"/>
  <c r="BO65" i="1" s="1"/>
  <c r="BG120" i="1"/>
  <c r="BO120" i="1" s="1"/>
  <c r="BG86" i="1"/>
  <c r="BO86" i="1" s="1"/>
  <c r="AN39" i="1"/>
  <c r="H67" i="1"/>
  <c r="G67" i="1"/>
  <c r="F67" i="1"/>
  <c r="E67" i="1"/>
  <c r="D67" i="1"/>
  <c r="U66" i="1"/>
  <c r="T66" i="1"/>
  <c r="S66" i="1"/>
  <c r="R66" i="1"/>
  <c r="Q66" i="1"/>
  <c r="P66" i="1"/>
  <c r="O66" i="1"/>
  <c r="N66" i="1"/>
  <c r="M66" i="1"/>
  <c r="L66" i="1"/>
  <c r="K66" i="1"/>
  <c r="J66" i="1"/>
  <c r="I66" i="1"/>
  <c r="H66" i="1"/>
  <c r="G66" i="1"/>
  <c r="F66" i="1"/>
  <c r="E66" i="1"/>
  <c r="D66" i="1"/>
  <c r="U65" i="1" a="1"/>
  <c r="U65" i="1" s="1"/>
  <c r="T65" i="1" a="1"/>
  <c r="T65" i="1" s="1"/>
  <c r="S65" i="1" a="1"/>
  <c r="S65" i="1" s="1"/>
  <c r="R65" i="1" a="1"/>
  <c r="R65" i="1" s="1"/>
  <c r="Q65" i="1" a="1"/>
  <c r="Q65" i="1" s="1"/>
  <c r="P65" i="1" a="1"/>
  <c r="P65" i="1" s="1"/>
  <c r="O65" i="1" a="1"/>
  <c r="O65" i="1" s="1"/>
  <c r="N65" i="1" a="1"/>
  <c r="N65" i="1" s="1"/>
  <c r="M65" i="1" a="1"/>
  <c r="M65" i="1" s="1"/>
  <c r="L65" i="1" a="1"/>
  <c r="L65" i="1" s="1"/>
  <c r="K65" i="1" a="1"/>
  <c r="K65" i="1" s="1"/>
  <c r="J65" i="1" a="1"/>
  <c r="J65" i="1" s="1"/>
  <c r="I65" i="1" a="1"/>
  <c r="I65" i="1" s="1"/>
  <c r="H65" i="1" a="1"/>
  <c r="H65" i="1" s="1"/>
  <c r="G65" i="1" a="1"/>
  <c r="G65" i="1" s="1"/>
  <c r="F65" i="1" a="1"/>
  <c r="F65" i="1" s="1"/>
  <c r="E65" i="1" a="1"/>
  <c r="E65" i="1" s="1"/>
  <c r="D65" i="1" a="1"/>
  <c r="D65" i="1" s="1"/>
  <c r="V61" i="1"/>
  <c r="V60" i="1"/>
  <c r="V59" i="1"/>
  <c r="V58" i="1"/>
  <c r="V57" i="1"/>
  <c r="V56" i="1"/>
  <c r="V55" i="1"/>
  <c r="V54" i="1"/>
  <c r="V53" i="1"/>
  <c r="V52" i="1"/>
  <c r="V51" i="1"/>
  <c r="V50" i="1"/>
  <c r="V49" i="1"/>
  <c r="V48" i="1"/>
  <c r="V47" i="1"/>
  <c r="V46" i="1"/>
  <c r="V45" i="1"/>
  <c r="V44" i="1"/>
  <c r="V43" i="1"/>
  <c r="V42" i="1"/>
  <c r="V41" i="1"/>
  <c r="C41" i="1"/>
  <c r="V40" i="1"/>
  <c r="V39" i="1"/>
  <c r="V38" i="1"/>
  <c r="V37" i="1"/>
  <c r="V36" i="1"/>
  <c r="V35" i="1"/>
  <c r="V34" i="1"/>
  <c r="V33" i="1"/>
  <c r="V32" i="1"/>
  <c r="V31" i="1"/>
  <c r="V30" i="1"/>
  <c r="V29" i="1"/>
  <c r="V28" i="1"/>
  <c r="V27" i="1"/>
  <c r="V26" i="1"/>
  <c r="V25" i="1"/>
  <c r="V24" i="1"/>
  <c r="V23" i="1"/>
  <c r="V22" i="1"/>
  <c r="V21" i="1"/>
  <c r="AI20" i="1" a="1"/>
  <c r="AI20" i="1" s="1"/>
  <c r="AH20" i="1"/>
  <c r="AG20" i="1"/>
  <c r="AF20" i="1"/>
  <c r="AE20" i="1"/>
  <c r="AD20" i="1"/>
  <c r="AC20" i="1"/>
  <c r="AB20" i="1"/>
  <c r="Z20" i="1"/>
  <c r="AA20" i="1" s="1"/>
  <c r="V20" i="1"/>
  <c r="AM19" i="1"/>
  <c r="AP17" i="1" s="1"/>
  <c r="AI19" i="1" a="1"/>
  <c r="AI19" i="1" s="1"/>
  <c r="AH19" i="1"/>
  <c r="AG19" i="1"/>
  <c r="AF19" i="1"/>
  <c r="AE19" i="1"/>
  <c r="AD19" i="1"/>
  <c r="AC19" i="1"/>
  <c r="AB19" i="1"/>
  <c r="Z19" i="1"/>
  <c r="AA19" i="1" s="1"/>
  <c r="V19" i="1"/>
  <c r="AM18" i="1"/>
  <c r="AP16" i="1" s="1"/>
  <c r="AI18" i="1" a="1"/>
  <c r="AI18" i="1" s="1"/>
  <c r="AH18" i="1"/>
  <c r="AG18" i="1"/>
  <c r="AF18" i="1"/>
  <c r="AE18" i="1"/>
  <c r="AD18" i="1"/>
  <c r="AC18" i="1"/>
  <c r="AB18" i="1"/>
  <c r="Z18" i="1"/>
  <c r="AA18" i="1" s="1"/>
  <c r="V18" i="1"/>
  <c r="AI17" i="1" a="1"/>
  <c r="AI17" i="1" s="1"/>
  <c r="AH17" i="1"/>
  <c r="AG17" i="1"/>
  <c r="AF17" i="1"/>
  <c r="AE17" i="1"/>
  <c r="AD17" i="1"/>
  <c r="AC17" i="1"/>
  <c r="AB17" i="1"/>
  <c r="Z17" i="1"/>
  <c r="AA17" i="1" s="1"/>
  <c r="V17" i="1"/>
  <c r="AI16" i="1" a="1"/>
  <c r="AI16" i="1" s="1"/>
  <c r="AH16" i="1"/>
  <c r="AG16" i="1"/>
  <c r="AF16" i="1"/>
  <c r="AE16" i="1"/>
  <c r="AD16" i="1"/>
  <c r="AC16" i="1"/>
  <c r="AB16" i="1"/>
  <c r="Z16" i="1"/>
  <c r="AA16" i="1" s="1"/>
  <c r="V16" i="1"/>
  <c r="AI15" i="1" a="1"/>
  <c r="AI15" i="1" s="1"/>
  <c r="AH15" i="1"/>
  <c r="AG15" i="1"/>
  <c r="AF15" i="1"/>
  <c r="AE15" i="1"/>
  <c r="AD15" i="1"/>
  <c r="AC15" i="1"/>
  <c r="AB15" i="1"/>
  <c r="Z15" i="1"/>
  <c r="AA15" i="1" s="1"/>
  <c r="V15" i="1"/>
  <c r="AI14" i="1" a="1"/>
  <c r="AI14" i="1" s="1"/>
  <c r="AH14" i="1"/>
  <c r="AG14" i="1"/>
  <c r="AF14" i="1"/>
  <c r="AE14" i="1"/>
  <c r="AD14" i="1"/>
  <c r="AC14" i="1"/>
  <c r="AB14" i="1"/>
  <c r="Z14" i="1"/>
  <c r="AA14" i="1" s="1"/>
  <c r="V14" i="1"/>
  <c r="AI13" i="1" a="1"/>
  <c r="AI13" i="1" s="1"/>
  <c r="AH13" i="1"/>
  <c r="AG13" i="1"/>
  <c r="AF13" i="1"/>
  <c r="AE13" i="1"/>
  <c r="AD13" i="1"/>
  <c r="AC13" i="1"/>
  <c r="AB13" i="1"/>
  <c r="Z13" i="1"/>
  <c r="AA13" i="1" s="1"/>
  <c r="V13" i="1"/>
  <c r="AI12" i="1" a="1"/>
  <c r="AI12" i="1" s="1"/>
  <c r="AH12" i="1"/>
  <c r="AG12" i="1"/>
  <c r="AF12" i="1"/>
  <c r="AE12" i="1"/>
  <c r="AD12" i="1"/>
  <c r="AC12" i="1"/>
  <c r="AB12" i="1"/>
  <c r="Z12" i="1"/>
  <c r="AA12" i="1" s="1"/>
  <c r="V12" i="1"/>
  <c r="AI11" i="1" a="1"/>
  <c r="AI11" i="1" s="1"/>
  <c r="AH11" i="1"/>
  <c r="AG11" i="1"/>
  <c r="AF11" i="1"/>
  <c r="AE11" i="1"/>
  <c r="AD11" i="1"/>
  <c r="AC11" i="1"/>
  <c r="AB11" i="1"/>
  <c r="Z11" i="1"/>
  <c r="AA11" i="1" s="1"/>
  <c r="V11" i="1"/>
  <c r="AI10" i="1" a="1"/>
  <c r="AI10" i="1" s="1"/>
  <c r="AH10" i="1"/>
  <c r="AG10" i="1"/>
  <c r="AF10" i="1"/>
  <c r="AE10" i="1"/>
  <c r="AD10" i="1"/>
  <c r="AC10" i="1"/>
  <c r="AB10" i="1"/>
  <c r="Z10" i="1"/>
  <c r="AA10" i="1" s="1"/>
  <c r="V10" i="1"/>
  <c r="AI9" i="1" a="1"/>
  <c r="AI9" i="1" s="1"/>
  <c r="AH9" i="1"/>
  <c r="AG9" i="1"/>
  <c r="AF9" i="1"/>
  <c r="AE9" i="1"/>
  <c r="AD9" i="1"/>
  <c r="AC9" i="1"/>
  <c r="AB9" i="1"/>
  <c r="Z9" i="1"/>
  <c r="AA9" i="1" s="1"/>
  <c r="V9" i="1"/>
  <c r="AI8" i="1" a="1"/>
  <c r="AI8" i="1" s="1"/>
  <c r="AH8" i="1"/>
  <c r="AG8" i="1"/>
  <c r="AF8" i="1"/>
  <c r="AE8" i="1"/>
  <c r="AD8" i="1"/>
  <c r="AC8" i="1"/>
  <c r="AB8" i="1"/>
  <c r="Z8" i="1"/>
  <c r="AA8" i="1" s="1"/>
  <c r="V8" i="1"/>
  <c r="AI7" i="1" a="1"/>
  <c r="AI7" i="1" s="1"/>
  <c r="AH7" i="1"/>
  <c r="AG7" i="1"/>
  <c r="AF7" i="1"/>
  <c r="AE7" i="1"/>
  <c r="AD7" i="1"/>
  <c r="AC7" i="1"/>
  <c r="AB7" i="1"/>
  <c r="Z7" i="1"/>
  <c r="AA7" i="1" s="1"/>
  <c r="V7" i="1"/>
  <c r="AI6" i="1" a="1"/>
  <c r="AI6" i="1" s="1"/>
  <c r="AH6" i="1"/>
  <c r="AG6" i="1"/>
  <c r="AF6" i="1"/>
  <c r="AE6" i="1"/>
  <c r="AD6" i="1"/>
  <c r="AC6" i="1"/>
  <c r="AB6" i="1"/>
  <c r="Z6" i="1"/>
  <c r="AA6" i="1" s="1"/>
  <c r="V6" i="1"/>
  <c r="AI5" i="1" a="1"/>
  <c r="AI5" i="1" s="1"/>
  <c r="AH5" i="1"/>
  <c r="AG5" i="1"/>
  <c r="AF5" i="1"/>
  <c r="AE5" i="1"/>
  <c r="AD5" i="1"/>
  <c r="AC5" i="1"/>
  <c r="AB5" i="1"/>
  <c r="Z5" i="1"/>
  <c r="AA5" i="1" s="1"/>
  <c r="V5" i="1"/>
  <c r="AI4" i="1" a="1"/>
  <c r="AI4" i="1" s="1"/>
  <c r="AH4" i="1"/>
  <c r="AG4" i="1"/>
  <c r="AF4" i="1"/>
  <c r="AE4" i="1"/>
  <c r="AD4" i="1"/>
  <c r="AC4" i="1"/>
  <c r="AB4" i="1"/>
  <c r="Z4" i="1"/>
  <c r="AA4" i="1" s="1"/>
  <c r="V4" i="1"/>
  <c r="AI3" i="1" a="1"/>
  <c r="AI3" i="1" s="1"/>
  <c r="AH3" i="1"/>
  <c r="AG3" i="1"/>
  <c r="AF3" i="1"/>
  <c r="AE3" i="1"/>
  <c r="AD3" i="1"/>
  <c r="AC3" i="1"/>
  <c r="AB3" i="1"/>
  <c r="Z3" i="1"/>
  <c r="AA3" i="1" s="1"/>
  <c r="V3" i="1"/>
  <c r="V2" i="1"/>
  <c r="AA63" i="1" l="1"/>
  <c r="AA62" i="1"/>
  <c r="AA58" i="1"/>
  <c r="AA64" i="1"/>
  <c r="AA57" i="1"/>
  <c r="AB68" i="1"/>
  <c r="AB70" i="1"/>
  <c r="AB69" i="1"/>
  <c r="AA67" i="1"/>
  <c r="AB63" i="1"/>
  <c r="AB64" i="1"/>
  <c r="AA66" i="1"/>
  <c r="AB62" i="1"/>
  <c r="AA65" i="1"/>
  <c r="AB60" i="1"/>
  <c r="AB61" i="1"/>
  <c r="AA56" i="1"/>
  <c r="AB59" i="1"/>
  <c r="AA70" i="1"/>
  <c r="AA55" i="1"/>
  <c r="AB58" i="1"/>
  <c r="AA69" i="1"/>
  <c r="AA54" i="1"/>
  <c r="AB57" i="1"/>
  <c r="AA68" i="1"/>
  <c r="AA53" i="1"/>
  <c r="AB56" i="1"/>
  <c r="AA61" i="1"/>
  <c r="AB67" i="1"/>
  <c r="AB55" i="1"/>
  <c r="AA60" i="1"/>
  <c r="AB66" i="1"/>
  <c r="AB54" i="1"/>
  <c r="AA59" i="1"/>
  <c r="AB65" i="1"/>
  <c r="AM16" i="1" l="1"/>
  <c r="AV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CB63E-3227-4D31-8805-623E50A88420}" keepAlive="1" name="Query - Table16" description="Connection to the 'Table16' query in the workbook." type="5" refreshedVersion="8" background="1" saveData="1">
    <dbPr connection="Provider=Microsoft.Mashup.OleDb.1;Data Source=$Workbook$;Location=Table16;Extended Properties=&quot;&quot;" command="SELECT * FROM [Table16]"/>
  </connection>
  <connection id="2" xr16:uid="{216B40E4-9378-4E6C-9E53-AE2323FAA9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7D643F-E963-4FCD-821F-279F50B1C66C}" name="WorksheetConnection_Golf25 (version 2).xlsx!Table1" type="102" refreshedVersion="8" minRefreshableVersion="5">
    <extLst>
      <ext xmlns:x15="http://schemas.microsoft.com/office/spreadsheetml/2010/11/main" uri="{DE250136-89BD-433C-8126-D09CA5730AF9}">
        <x15:connection id="Table1">
          <x15:rangePr sourceName="_xlcn.WorksheetConnection_Golf25version2.xlsxTable1"/>
        </x15:connection>
      </ext>
    </extLst>
  </connection>
  <connection id="4" xr16:uid="{C7FEF914-E805-474C-B63B-F630E6FDA92F}" name="WorksheetConnection_Golf25 (version 2).xlsx!Table16_1" type="102" refreshedVersion="8" minRefreshableVersion="5">
    <extLst>
      <ext xmlns:x15="http://schemas.microsoft.com/office/spreadsheetml/2010/11/main" uri="{DE250136-89BD-433C-8126-D09CA5730AF9}">
        <x15:connection id="Table16_1" autoDelete="1">
          <x15:rangePr sourceName="_xlcn.WorksheetConnection_Golf25version2.xlsxTable16_1"/>
        </x15:connection>
      </ext>
    </extLst>
  </connection>
  <connection id="5" xr16:uid="{8EAD587D-893C-48D1-B737-0564434CE62E}" name="WorksheetConnection_Golf25 (version 2).xlsx!Table7" type="102" refreshedVersion="8" minRefreshableVersion="5">
    <extLst>
      <ext xmlns:x15="http://schemas.microsoft.com/office/spreadsheetml/2010/11/main" uri="{DE250136-89BD-433C-8126-D09CA5730AF9}">
        <x15:connection id="Table7" autoDelete="1">
          <x15:rangePr sourceName="_xlcn.WorksheetConnection_Golf25version2.xlsxTable7"/>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<sst xmlns="http://schemas.openxmlformats.org/spreadsheetml/2006/main" count="1729" uniqueCount="111">
  <si>
    <t>Player</t>
  </si>
  <si>
    <t>Handicap</t>
  </si>
  <si>
    <t>Day</t>
  </si>
  <si>
    <t>Hole 1</t>
  </si>
  <si>
    <t>Hole 2</t>
  </si>
  <si>
    <t>Hole 3</t>
  </si>
  <si>
    <t>Hole 4</t>
  </si>
  <si>
    <t>Hole 5</t>
  </si>
  <si>
    <t>Hole 6</t>
  </si>
  <si>
    <t>Hole 7</t>
  </si>
  <si>
    <t>Hole 8</t>
  </si>
  <si>
    <t>Hole 9</t>
  </si>
  <si>
    <t>Hole 10</t>
  </si>
  <si>
    <t>Hole 11</t>
  </si>
  <si>
    <t>Hole 12</t>
  </si>
  <si>
    <t>Hole 13</t>
  </si>
  <si>
    <t>Hole 14</t>
  </si>
  <si>
    <t>Hole 15</t>
  </si>
  <si>
    <t>Hole 16</t>
  </si>
  <si>
    <t>Hole 17</t>
  </si>
  <si>
    <t>Hole 18</t>
  </si>
  <si>
    <t>Total</t>
  </si>
  <si>
    <t>Andy</t>
  </si>
  <si>
    <t>Guz</t>
  </si>
  <si>
    <t>Jeff B</t>
  </si>
  <si>
    <t>Ben B</t>
  </si>
  <si>
    <t>Joe</t>
  </si>
  <si>
    <t>Brett</t>
  </si>
  <si>
    <t>Ray</t>
  </si>
  <si>
    <t>Brandon</t>
  </si>
  <si>
    <t>Dylan</t>
  </si>
  <si>
    <t>Ethan</t>
  </si>
  <si>
    <t>Bruce</t>
  </si>
  <si>
    <t>Clay</t>
  </si>
  <si>
    <t>Charlie</t>
  </si>
  <si>
    <t>Dustin</t>
  </si>
  <si>
    <t>Darin</t>
  </si>
  <si>
    <t>Tom</t>
  </si>
  <si>
    <t>Ryan</t>
  </si>
  <si>
    <t>Chris</t>
  </si>
  <si>
    <t>Grant</t>
  </si>
  <si>
    <t>Pete</t>
  </si>
  <si>
    <t>Gene</t>
  </si>
  <si>
    <t>Ben T</t>
  </si>
  <si>
    <t>Runt</t>
  </si>
  <si>
    <t>Kenny</t>
  </si>
  <si>
    <t>Billy</t>
  </si>
  <si>
    <t>Shayne</t>
  </si>
  <si>
    <t>Seiler</t>
  </si>
  <si>
    <t>Mike</t>
  </si>
  <si>
    <t>Donny</t>
  </si>
  <si>
    <t>Jesse</t>
  </si>
  <si>
    <t>Nahhe</t>
  </si>
  <si>
    <t>Chad</t>
  </si>
  <si>
    <t>Par</t>
  </si>
  <si>
    <t>Avg Over Par</t>
  </si>
  <si>
    <t>Highest</t>
  </si>
  <si>
    <t>Grand Total</t>
  </si>
  <si>
    <t>Column1</t>
  </si>
  <si>
    <t>Avg</t>
  </si>
  <si>
    <t>Hole</t>
  </si>
  <si>
    <t>Average</t>
  </si>
  <si>
    <t>Average Over Par</t>
  </si>
  <si>
    <t>Max</t>
  </si>
  <si>
    <t>Eagles</t>
  </si>
  <si>
    <t>Birdies</t>
  </si>
  <si>
    <t>Pars</t>
  </si>
  <si>
    <t>Bogeys</t>
  </si>
  <si>
    <t>Double Bogeys</t>
  </si>
  <si>
    <t>Triples</t>
  </si>
  <si>
    <t>Quadruple +</t>
  </si>
  <si>
    <t>Column Labels</t>
  </si>
  <si>
    <t># Eagles</t>
  </si>
  <si>
    <t># Birdies</t>
  </si>
  <si>
    <t># Pars</t>
  </si>
  <si>
    <t># Bogeys</t>
  </si>
  <si>
    <t># Triples</t>
  </si>
  <si>
    <t># Quads+</t>
  </si>
  <si>
    <t>Title</t>
  </si>
  <si>
    <t>Hole Number</t>
  </si>
  <si>
    <t># Double Bogeys</t>
  </si>
  <si>
    <t>Average Score</t>
  </si>
  <si>
    <t>Max Strokes</t>
  </si>
  <si>
    <t>3 Total</t>
  </si>
  <si>
    <t>11 Total</t>
  </si>
  <si>
    <t>Difficulty Rank</t>
  </si>
  <si>
    <t>Sum of Average Over Par</t>
  </si>
  <si>
    <t>Row Labels</t>
  </si>
  <si>
    <t>Doubles</t>
  </si>
  <si>
    <t>Quads+</t>
  </si>
  <si>
    <t>Score After Handicap</t>
  </si>
  <si>
    <t>Sum of Pars</t>
  </si>
  <si>
    <t>Sum of Birdies</t>
  </si>
  <si>
    <t>Sum of Eagles</t>
  </si>
  <si>
    <t>Sum of Bogeys</t>
  </si>
  <si>
    <t>Sum of Doubles</t>
  </si>
  <si>
    <t>Sum of Triples</t>
  </si>
  <si>
    <t>Sum of Quads+</t>
  </si>
  <si>
    <t>Attribute</t>
  </si>
  <si>
    <t>Value</t>
  </si>
  <si>
    <t>Sum of Total</t>
  </si>
  <si>
    <t>Sum of Value</t>
  </si>
  <si>
    <t>Sum of Score After Handicap</t>
  </si>
  <si>
    <t>Average of Score After Handicap</t>
  </si>
  <si>
    <t>Score to Handicap</t>
  </si>
  <si>
    <t>Rank</t>
  </si>
  <si>
    <t>Sum of Score to Handicap</t>
  </si>
  <si>
    <t>Sum of Rank</t>
  </si>
  <si>
    <t xml:space="preserve">Score to Handicap: </t>
  </si>
  <si>
    <t>Selected Hole</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</si>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</sst>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sz val="11"/>
      <color theme="1"/>
      <name val="Amasis MT Pro Black"/>
      <family val="1"/>
    </font>
  </fonts>
  <fills count="5">
    <fill>
      <patternFill patternType="none"/>
    </fill>
    <fill>
      <patternFill patternType="gray125"/>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0" fillId="2" borderId="0" xfId="0" applyFill="1"/>
    <xf numFmtId="0" fontId="0" fillId="0" borderId="0" xfId="0" pivotButton="1"/>
    <xf numFmtId="0" fontId="0" fillId="0" borderId="0" xfId="0" applyAlignment="1">
      <alignment horizontal="left"/>
    </xf>
    <xf numFmtId="0" fontId="1" fillId="0" borderId="0" xfId="0" applyFont="1"/>
    <xf numFmtId="0" fontId="3" fillId="3" borderId="1" xfId="0" applyFont="1" applyFill="1" applyBorder="1"/>
    <xf numFmtId="0" fontId="0" fillId="4" borderId="1" xfId="0" applyFill="1" applyBorder="1"/>
    <xf numFmtId="0" fontId="0" fillId="0" borderId="1" xfId="0" applyBorder="1"/>
    <xf numFmtId="0" fontId="4"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indent="1"/>
    </xf>
    <xf numFmtId="0" fontId="0" fillId="0" borderId="0" xfId="0" applyNumberFormat="1"/>
  </cellXfs>
  <cellStyles count="1">
    <cellStyle name="Normal" xfId="0" builtinId="0"/>
  </cellStyles>
  <dxfs count="21">
    <dxf>
      <fill>
        <patternFill patternType="solid">
          <fgColor indexed="64"/>
          <bgColor theme="4" tint="0.59999389629810485"/>
        </patternFill>
      </fil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4" tint="0.59999389629810485"/>
        </patternFill>
      </fill>
    </dxf>
    <dxf>
      <numFmt numFmtId="0" formatCode="General"/>
    </dxf>
    <dxf>
      <fill>
        <patternFill patternType="solid">
          <fgColor indexed="64"/>
          <bgColor theme="4" tint="0.59999389629810485"/>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[Golf25 (version 2).xlsx]Data!PivotTable9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908675440"/>
        <c:axId val="908668240"/>
      </c:barChart>
      <c:catAx>
        <c:axId val="90867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68240"/>
        <c:crosses val="autoZero"/>
        <c:auto val="1"/>
        <c:lblAlgn val="ctr"/>
        <c:lblOffset val="100"/>
        <c:noMultiLvlLbl val="0"/>
      </c:catAx>
      <c:valAx>
        <c:axId val="90866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67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[Golf25 (version 2).xlsx]Data!PivotTable11</c:name>
    <c:fmtId val="3"/>
  </c:pivotSource>
  <c:chart>
    <c:title>
      <c:tx>
        <c:strRef>
          <c:f>Data!$AM$16</c:f>
          <c:strCache>
            <c:ptCount val="1"/>
            <c:pt idx="0">
              <c:v>Hole # 5</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Data!$AM$16</c:f>
              <c:strCache>
                <c:ptCount val="1"/>
                <c:pt idx="0">
                  <c:v># Eagles</c:v>
                </c:pt>
              </c:strCache>
            </c:strRef>
          </c:tx>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0</c:v>
                </c:pt>
              </c:numCache>
            </c:numRef>
          </c:val>
          <c:extLst>
            <c:ext xmlns:c16="http://schemas.microsoft.com/office/drawing/2014/chart" uri="{C3380CC4-5D6E-409C-BE32-E72D297353CC}">
              <c16:uniqueId val="{0000001C-BC9D-4A37-B2A5-06D155A3531C}"/>
            </c:ext>
          </c:extLst>
        </c:ser>
        <c:ser>
          <c:idx val="1"/>
          <c:order val="1"/>
          <c:tx>
            <c:strRef>
              <c:f>Data!$AM$16</c:f>
              <c:strCache>
                <c:ptCount val="1"/>
                <c:pt idx="0">
                  <c:v># Birdies</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3</c:v>
                </c:pt>
              </c:numCache>
            </c:numRef>
          </c:val>
          <c:extLst>
            <c:ext xmlns:c16="http://schemas.microsoft.com/office/drawing/2014/chart" uri="{C3380CC4-5D6E-409C-BE32-E72D297353CC}">
              <c16:uniqueId val="{0000001D-BC9D-4A37-B2A5-06D155A3531C}"/>
            </c:ext>
          </c:extLst>
        </c:ser>
        <c:ser>
          <c:idx val="2"/>
          <c:order val="2"/>
          <c:tx>
            <c:strRef>
              <c:f>Data!$AM$16</c:f>
              <c:strCache>
                <c:ptCount val="1"/>
                <c:pt idx="0">
                  <c:v># Pars</c:v>
                </c:pt>
              </c:strCache>
            </c:strRef>
          </c:tx>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17</c:v>
                </c:pt>
              </c:numCache>
            </c:numRef>
          </c:val>
          <c:extLst>
            <c:ext xmlns:c16="http://schemas.microsoft.com/office/drawing/2014/chart" uri="{C3380CC4-5D6E-409C-BE32-E72D297353CC}">
              <c16:uniqueId val="{0000001E-BC9D-4A37-B2A5-06D155A3531C}"/>
            </c:ext>
          </c:extLst>
        </c:ser>
        <c:ser>
          <c:idx val="3"/>
          <c:order val="3"/>
          <c:tx>
            <c:strRef>
              <c:f>Data!$AM$16</c:f>
              <c:strCache>
                <c:ptCount val="1"/>
                <c:pt idx="0">
                  <c:v># Bogeys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18</c:v>
                </c:pt>
              </c:numCache>
            </c:numRef>
          </c:val>
          <c:extLst>
            <c:ext xmlns:c16="http://schemas.microsoft.com/office/drawing/2014/chart" uri="{C3380CC4-5D6E-409C-BE32-E72D297353CC}">
              <c16:uniqueId val="{0000001F-BC9D-4A37-B2A5-06D155A3531C}"/>
            </c:ext>
          </c:extLst>
        </c:ser>
        <c:ser>
          <c:idx val="4"/>
          <c:order val="4"/>
          <c:tx>
            <c:strRef>
              <c:f>Data!$AM$16</c:f>
              <c:strCache>
                <c:ptCount val="1"/>
                <c:pt idx="0">
                  <c:v># Double Bogeys</c:v>
                </c:pt>
              </c:strCache>
            </c:strRef>
          </c:tx>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16</c:v>
                </c:pt>
              </c:numCache>
            </c:numRef>
          </c:val>
          <c:extLst>
            <c:ext xmlns:c16="http://schemas.microsoft.com/office/drawing/2014/chart" uri="{C3380CC4-5D6E-409C-BE32-E72D297353CC}">
              <c16:uniqueId val="{00000020-BC9D-4A37-B2A5-06D155A3531C}"/>
            </c:ext>
          </c:extLst>
        </c:ser>
        <c:ser>
          <c:idx val="5"/>
          <c:order val="5"/>
          <c:tx>
            <c:strRef>
              <c:f>Data!$AM$16</c:f>
              <c:strCache>
                <c:ptCount val="1"/>
                <c:pt idx="0">
                  <c:v># Triples</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4</c:v>
                </c:pt>
              </c:numCache>
            </c:numRef>
          </c:val>
          <c:extLst>
            <c:ext xmlns:c16="http://schemas.microsoft.com/office/drawing/2014/chart" uri="{C3380CC4-5D6E-409C-BE32-E72D297353CC}">
              <c16:uniqueId val="{00000021-BC9D-4A37-B2A5-06D155A3531C}"/>
            </c:ext>
          </c:extLst>
        </c:ser>
        <c:ser>
          <c:idx val="6"/>
          <c:order val="6"/>
          <c:tx>
            <c:strRef>
              <c:f>Data!$AM$16</c:f>
              <c:strCache>
                <c:ptCount val="1"/>
                <c:pt idx="0">
                  <c:v># Quads+</c:v>
                </c:pt>
              </c:strCache>
            </c:strRef>
          </c:tx>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2</c:v>
                </c:pt>
              </c:numCache>
            </c:numRef>
          </c:val>
          <c:extLst>
            <c:ext xmlns:c16="http://schemas.microsoft.com/office/drawing/2014/chart" uri="{C3380CC4-5D6E-409C-BE32-E72D297353CC}">
              <c16:uniqueId val="{00000023-BC9D-4A37-B2A5-06D155A3531C}"/>
            </c:ext>
          </c:extLst>
        </c:ser>
        <c:dLbls>
          <c:dLblPos val="outEnd"/>
          <c:showLegendKey val="0"/>
          <c:showVal val="1"/>
          <c:showCatName val="0"/>
          <c:showSerName val="0"/>
          <c:showPercent val="0"/>
          <c:showBubbleSize val="0"/>
        </c:dLbls>
        <c:gapWidth val="100"/>
        <c:overlap val="-24"/>
        <c:axId val="602808304"/>
        <c:axId val="602815984"/>
      </c:barChart>
      <c:catAx>
        <c:axId val="602808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15984"/>
        <c:crosses val="autoZero"/>
        <c:auto val="1"/>
        <c:lblAlgn val="ctr"/>
        <c:lblOffset val="100"/>
        <c:noMultiLvlLbl val="0"/>
      </c:catAx>
      <c:valAx>
        <c:axId val="6028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08304"/>
        <c:crosses val="autoZero"/>
        <c:crossBetween val="between"/>
      </c:valAx>
      <c:spPr>
        <a:noFill/>
        <a:ln>
          <a:noFill/>
        </a:ln>
        <a:effectLst/>
      </c:spPr>
    </c:plotArea>
    <c:legend>
      <c:legendPos val="b"/>
      <c:layout>
        <c:manualLayout>
          <c:xMode val="edge"/>
          <c:yMode val="edge"/>
          <c:x val="6.7407544930670082E-2"/>
          <c:y val="0.91844877679060166"/>
          <c:w val="0.93175911263519262"/>
          <c:h val="6.01608488778474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[Golf25 (version 2).xlsx]Data!PivotTable13</c:name>
    <c:fmtId val="3"/>
  </c:pivotSource>
  <c:chart>
    <c:title>
      <c:tx>
        <c:strRef>
          <c:f>Data!$AM$16</c:f>
          <c:strCache>
            <c:ptCount val="1"/>
            <c:pt idx="0">
              <c:v>Hole # 5</c:v>
            </c:pt>
          </c:strCache>
        </c:strRef>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Data!$AM$16</c:f>
              <c:strCache>
                <c:ptCount val="1"/>
                <c:pt idx="0">
                  <c:v>Average Score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5.166666666666667</c:v>
                </c:pt>
              </c:numCache>
            </c:numRef>
          </c:val>
          <c:extLst>
            <c:ext xmlns:c16="http://schemas.microsoft.com/office/drawing/2014/chart" uri="{C3380CC4-5D6E-409C-BE32-E72D297353CC}">
              <c16:uniqueId val="{00000000-C002-4825-907C-C325897111D5}"/>
            </c:ext>
          </c:extLst>
        </c:ser>
        <c:ser>
          <c:idx val="1"/>
          <c:order val="1"/>
          <c:tx>
            <c:strRef>
              <c:f>Data!$AM$16</c:f>
              <c:strCache>
                <c:ptCount val="1"/>
                <c:pt idx="0">
                  <c:v>Max Strokes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Data!$AM$16</c:f>
              <c:strCache>
                <c:ptCount val="1"/>
                <c:pt idx="0">
                  <c:v>Total</c:v>
                </c:pt>
              </c:strCache>
            </c:strRef>
          </c:cat>
          <c:val>
            <c:numRef>
              <c:f>Data!$AM$16</c:f>
              <c:numCache>
                <c:formatCode>General</c:formatCode>
                <c:ptCount val="1"/>
                <c:pt idx="0">
                  <c:v>11</c:v>
                </c:pt>
              </c:numCache>
            </c:numRef>
          </c:val>
          <c:extLst>
            <c:ext xmlns:c16="http://schemas.microsoft.com/office/drawing/2014/chart" uri="{C3380CC4-5D6E-409C-BE32-E72D297353CC}">
              <c16:uniqueId val="{00000001-C002-4825-907C-C325897111D5}"/>
            </c:ext>
          </c:extLst>
        </c:ser>
        <c:dLbls>
          <c:dLblPos val="outEnd"/>
          <c:showLegendKey val="0"/>
          <c:showVal val="1"/>
          <c:showCatName val="0"/>
          <c:showSerName val="0"/>
          <c:showPercent val="0"/>
          <c:showBubbleSize val="0"/>
        </c:dLbls>
        <c:gapWidth val="115"/>
        <c:overlap val="-20"/>
        <c:axId val="407949376"/>
        <c:axId val="407950816"/>
      </c:barChart>
      <c:catAx>
        <c:axId val="407949376"/>
        <c:scaling>
          <c:orientation val="minMax"/>
        </c:scaling>
        <c:delete val="1"/>
        <c:axPos val="l"/>
        <c:numFmt formatCode="General" sourceLinked="1"/>
        <c:majorTickMark val="none"/>
        <c:minorTickMark val="none"/>
        <c:tickLblPos val="nextTo"/>
        <c:crossAx val="407950816"/>
        <c:crosses val="autoZero"/>
        <c:auto val="1"/>
        <c:lblAlgn val="ctr"/>
        <c:lblOffset val="100"/>
        <c:noMultiLvlLbl val="0"/>
      </c:catAx>
      <c:valAx>
        <c:axId val="407950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49376"/>
        <c:crosses val="autoZero"/>
        <c:crossBetween val="between"/>
      </c:valAx>
      <c:spPr>
        <a:noFill/>
        <a:ln>
          <a:noFill/>
        </a:ln>
        <a:effectLst/>
      </c:spPr>
    </c:plotArea>
    <c:legend>
      <c:legendPos val="r"/>
      <c:layout>
        <c:manualLayout>
          <c:xMode val="edge"/>
          <c:yMode val="edge"/>
          <c:x val="0.73444732274915148"/>
          <c:y val="0.24919005228785043"/>
          <c:w val="0.22429317670796037"/>
          <c:h val="0.62880889236103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[Golf25 (version 2).xlsx]Sheet2!PivotTable55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Ratio of Hole Scores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2"/>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3"/>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4"/>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5"/>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Sheet2!$F$3</c:f>
              <c:strCache>
                <c:ptCount val="1"/>
                <c:pt idx="0">
                  <c:v>Total</c:v>
                </c:pt>
              </c:strCache>
            </c:strRef>
          </c:tx>
          <c:dPt>
            <c:idx val="0"/>
            <c:bubble3D val="0"/>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DB-4F73-95B8-49F0A5FD656E}"/>
              </c:ext>
            </c:extLst>
          </c:dPt>
          <c:dPt>
            <c:idx val="1"/>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DB-4F73-95B8-49F0A5FD656E}"/>
              </c:ext>
            </c:extLst>
          </c:dPt>
          <c:dPt>
            <c:idx val="2"/>
            <c:bubble3D val="0"/>
            <c:spPr>
              <a:gradFill rotWithShape="1">
                <a:gsLst>
                  <a:gs pos="0">
                    <a:schemeClr val="accent1">
                      <a:tint val="83000"/>
                      <a:satMod val="103000"/>
                      <a:lumMod val="102000"/>
                      <a:tint val="94000"/>
                    </a:schemeClr>
                  </a:gs>
                  <a:gs pos="50000">
                    <a:schemeClr val="accent1">
                      <a:tint val="83000"/>
                      <a:satMod val="110000"/>
                      <a:lumMod val="100000"/>
                      <a:shade val="100000"/>
                    </a:schemeClr>
                  </a:gs>
                  <a:gs pos="100000">
                    <a:schemeClr val="accent1">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DB-4F73-95B8-49F0A5FD656E}"/>
              </c:ext>
            </c:extLst>
          </c:dPt>
          <c:dPt>
            <c:idx val="3"/>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DB-4F73-95B8-49F0A5FD656E}"/>
              </c:ext>
            </c:extLst>
          </c:dPt>
          <c:dPt>
            <c:idx val="4"/>
            <c:bubble3D val="0"/>
            <c:spPr>
              <a:gradFill rotWithShape="1">
                <a:gsLst>
                  <a:gs pos="0">
                    <a:schemeClr val="accent1">
                      <a:shade val="82000"/>
                      <a:satMod val="103000"/>
                      <a:lumMod val="102000"/>
                      <a:tint val="94000"/>
                    </a:schemeClr>
                  </a:gs>
                  <a:gs pos="50000">
                    <a:schemeClr val="accent1">
                      <a:shade val="82000"/>
                      <a:satMod val="110000"/>
                      <a:lumMod val="100000"/>
                      <a:shade val="100000"/>
                    </a:schemeClr>
                  </a:gs>
                  <a:gs pos="100000">
                    <a:schemeClr val="accent1">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BDB-4F73-95B8-49F0A5FD656E}"/>
              </c:ext>
            </c:extLst>
          </c:dPt>
          <c:dPt>
            <c:idx val="5"/>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BDB-4F73-95B8-49F0A5FD656E}"/>
              </c:ext>
            </c:extLst>
          </c:dPt>
          <c:dPt>
            <c:idx val="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BDB-4F73-95B8-49F0A5FD656E}"/>
              </c:ext>
            </c:extLst>
          </c:dPt>
          <c:dPt>
            <c:idx val="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BDB-4F73-95B8-49F0A5FD656E}"/>
              </c:ext>
            </c:extLst>
          </c:dPt>
          <c:dPt>
            <c:idx val="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BDB-4F73-95B8-49F0A5FD656E}"/>
              </c:ext>
            </c:extLst>
          </c:dPt>
          <c:dPt>
            <c:idx val="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BDB-4F73-95B8-49F0A5FD656E}"/>
              </c:ext>
            </c:extLst>
          </c:dPt>
          <c:dPt>
            <c:idx val="1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BDB-4F73-95B8-49F0A5FD656E}"/>
              </c:ext>
            </c:extLst>
          </c:dPt>
          <c:dPt>
            <c:idx val="1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BDB-4F73-95B8-49F0A5FD656E}"/>
              </c:ext>
            </c:extLst>
          </c:dPt>
          <c:dPt>
            <c:idx val="1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BDB-4F73-95B8-49F0A5FD656E}"/>
              </c:ext>
            </c:extLst>
          </c:dPt>
          <c:dPt>
            <c:idx val="1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BDB-4F73-95B8-49F0A5FD656E}"/>
              </c:ext>
            </c:extLst>
          </c:dPt>
          <c:dPt>
            <c:idx val="1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BDB-4F73-95B8-49F0A5FD656E}"/>
              </c:ext>
            </c:extLst>
          </c:dPt>
          <c:dPt>
            <c:idx val="1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BDB-4F73-95B8-49F0A5FD656E}"/>
              </c:ext>
            </c:extLst>
          </c:dPt>
          <c:dPt>
            <c:idx val="1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BDB-4F73-95B8-49F0A5FD656E}"/>
              </c:ext>
            </c:extLst>
          </c:dPt>
          <c:dPt>
            <c:idx val="1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BDB-4F73-95B8-49F0A5FD656E}"/>
              </c:ext>
            </c:extLst>
          </c:dPt>
          <c:dPt>
            <c:idx val="1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BDB-4F73-95B8-49F0A5FD656E}"/>
              </c:ext>
            </c:extLst>
          </c:dPt>
          <c:dPt>
            <c:idx val="1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BDB-4F73-95B8-49F0A5FD656E}"/>
              </c:ext>
            </c:extLst>
          </c:dPt>
          <c:dPt>
            <c:idx val="2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BDB-4F73-95B8-49F0A5FD656E}"/>
              </c:ext>
            </c:extLst>
          </c:dPt>
          <c:dPt>
            <c:idx val="2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BDB-4F73-95B8-49F0A5FD656E}"/>
              </c:ext>
            </c:extLst>
          </c:dPt>
          <c:dPt>
            <c:idx val="2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BDB-4F73-95B8-49F0A5FD656E}"/>
              </c:ext>
            </c:extLst>
          </c:dPt>
          <c:dPt>
            <c:idx val="2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BDB-4F73-95B8-49F0A5FD656E}"/>
              </c:ext>
            </c:extLst>
          </c:dPt>
          <c:dPt>
            <c:idx val="2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ABDB-4F73-95B8-49F0A5FD656E}"/>
              </c:ext>
            </c:extLst>
          </c:dPt>
          <c:dPt>
            <c:idx val="2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ABDB-4F73-95B8-49F0A5FD656E}"/>
              </c:ext>
            </c:extLst>
          </c:dPt>
          <c:dPt>
            <c:idx val="2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ABDB-4F73-95B8-49F0A5FD656E}"/>
              </c:ext>
            </c:extLst>
          </c:dPt>
          <c:dPt>
            <c:idx val="2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ABDB-4F73-95B8-49F0A5FD656E}"/>
              </c:ext>
            </c:extLst>
          </c:dPt>
          <c:dPt>
            <c:idx val="2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ABDB-4F73-95B8-49F0A5FD656E}"/>
              </c:ext>
            </c:extLst>
          </c:dPt>
          <c:dPt>
            <c:idx val="2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ABDB-4F73-95B8-49F0A5FD656E}"/>
              </c:ext>
            </c:extLst>
          </c:dPt>
          <c:dPt>
            <c:idx val="3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ABDB-4F73-95B8-49F0A5FD656E}"/>
              </c:ext>
            </c:extLst>
          </c:dPt>
          <c:dPt>
            <c:idx val="3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ABDB-4F73-95B8-49F0A5FD656E}"/>
              </c:ext>
            </c:extLst>
          </c:dPt>
          <c:dPt>
            <c:idx val="3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ABDB-4F73-95B8-49F0A5FD656E}"/>
              </c:ext>
            </c:extLst>
          </c:dPt>
          <c:dPt>
            <c:idx val="3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ABDB-4F73-95B8-49F0A5FD656E}"/>
              </c:ext>
            </c:extLst>
          </c:dPt>
          <c:dPt>
            <c:idx val="3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ABDB-4F73-95B8-49F0A5FD656E}"/>
              </c:ext>
            </c:extLst>
          </c:dPt>
          <c:dPt>
            <c:idx val="3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ABDB-4F73-95B8-49F0A5FD656E}"/>
              </c:ext>
            </c:extLst>
          </c:dPt>
          <c:dPt>
            <c:idx val="3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ABDB-4F73-95B8-49F0A5FD656E}"/>
              </c:ext>
            </c:extLst>
          </c:dPt>
          <c:dPt>
            <c:idx val="3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ABDB-4F73-95B8-49F0A5FD656E}"/>
              </c:ext>
            </c:extLst>
          </c:dPt>
          <c:dPt>
            <c:idx val="3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ABDB-4F73-95B8-49F0A5FD656E}"/>
              </c:ext>
            </c:extLst>
          </c:dPt>
          <c:dPt>
            <c:idx val="3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ABDB-4F73-95B8-49F0A5FD656E}"/>
              </c:ext>
            </c:extLst>
          </c:dPt>
          <c:dPt>
            <c:idx val="4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ABDB-4F73-95B8-49F0A5FD656E}"/>
              </c:ext>
            </c:extLst>
          </c:dPt>
          <c:dPt>
            <c:idx val="4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ABDB-4F73-95B8-49F0A5FD656E}"/>
              </c:ext>
            </c:extLst>
          </c:dPt>
          <c:dPt>
            <c:idx val="4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BDB-4F73-95B8-49F0A5FD656E}"/>
              </c:ext>
            </c:extLst>
          </c:dPt>
          <c:dPt>
            <c:idx val="4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BDB-4F73-95B8-49F0A5FD656E}"/>
              </c:ext>
            </c:extLst>
          </c:dPt>
          <c:dPt>
            <c:idx val="4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BDB-4F73-95B8-49F0A5FD656E}"/>
              </c:ext>
            </c:extLst>
          </c:dPt>
          <c:dPt>
            <c:idx val="4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ABDB-4F73-95B8-49F0A5FD656E}"/>
              </c:ext>
            </c:extLst>
          </c:dPt>
          <c:dPt>
            <c:idx val="4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ABDB-4F73-95B8-49F0A5FD656E}"/>
              </c:ext>
            </c:extLst>
          </c:dPt>
          <c:dPt>
            <c:idx val="4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ABDB-4F73-95B8-49F0A5FD656E}"/>
              </c:ext>
            </c:extLst>
          </c:dPt>
          <c:dPt>
            <c:idx val="4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ABDB-4F73-95B8-49F0A5FD656E}"/>
              </c:ext>
            </c:extLst>
          </c:dPt>
          <c:dPt>
            <c:idx val="4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ABDB-4F73-95B8-49F0A5FD656E}"/>
              </c:ext>
            </c:extLst>
          </c:dPt>
          <c:dPt>
            <c:idx val="5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ABDB-4F73-95B8-49F0A5FD656E}"/>
              </c:ext>
            </c:extLst>
          </c:dPt>
          <c:dPt>
            <c:idx val="5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ABDB-4F73-95B8-49F0A5FD656E}"/>
              </c:ext>
            </c:extLst>
          </c:dPt>
          <c:dPt>
            <c:idx val="5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ABDB-4F73-95B8-49F0A5FD656E}"/>
              </c:ext>
            </c:extLst>
          </c:dPt>
          <c:dPt>
            <c:idx val="5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ABDB-4F73-95B8-49F0A5FD656E}"/>
              </c:ext>
            </c:extLst>
          </c:dPt>
          <c:dPt>
            <c:idx val="5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ABDB-4F73-95B8-49F0A5FD656E}"/>
              </c:ext>
            </c:extLst>
          </c:dPt>
          <c:dPt>
            <c:idx val="5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ABDB-4F73-95B8-49F0A5FD656E}"/>
              </c:ext>
            </c:extLst>
          </c:dPt>
          <c:dPt>
            <c:idx val="5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ABDB-4F73-95B8-49F0A5FD656E}"/>
              </c:ext>
            </c:extLst>
          </c:dPt>
          <c:dPt>
            <c:idx val="5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ABDB-4F73-95B8-49F0A5FD656E}"/>
              </c:ext>
            </c:extLst>
          </c:dPt>
          <c:dPt>
            <c:idx val="5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ABDB-4F73-95B8-49F0A5FD656E}"/>
              </c:ext>
            </c:extLst>
          </c:dPt>
          <c:dPt>
            <c:idx val="5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ABDB-4F73-95B8-49F0A5FD656E}"/>
              </c:ext>
            </c:extLst>
          </c:dPt>
          <c:dPt>
            <c:idx val="6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ABDB-4F73-95B8-49F0A5FD656E}"/>
              </c:ext>
            </c:extLst>
          </c:dPt>
          <c:dPt>
            <c:idx val="6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ABDB-4F73-95B8-49F0A5FD656E}"/>
              </c:ext>
            </c:extLst>
          </c:dPt>
          <c:dPt>
            <c:idx val="6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ABDB-4F73-95B8-49F0A5FD656E}"/>
              </c:ext>
            </c:extLst>
          </c:dPt>
          <c:dPt>
            <c:idx val="6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ABDB-4F73-95B8-49F0A5FD656E}"/>
              </c:ext>
            </c:extLst>
          </c:dPt>
          <c:dPt>
            <c:idx val="6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ABDB-4F73-95B8-49F0A5FD656E}"/>
              </c:ext>
            </c:extLst>
          </c:dPt>
          <c:dPt>
            <c:idx val="6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ABDB-4F73-95B8-49F0A5FD656E}"/>
              </c:ext>
            </c:extLst>
          </c:dPt>
          <c:dPt>
            <c:idx val="6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ABDB-4F73-95B8-49F0A5FD656E}"/>
              </c:ext>
            </c:extLst>
          </c:dPt>
          <c:dPt>
            <c:idx val="6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ABDB-4F73-95B8-49F0A5FD656E}"/>
              </c:ext>
            </c:extLst>
          </c:dPt>
          <c:dPt>
            <c:idx val="6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ABDB-4F73-95B8-49F0A5FD656E}"/>
              </c:ext>
            </c:extLst>
          </c:dPt>
          <c:dPt>
            <c:idx val="6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ABDB-4F73-95B8-49F0A5FD656E}"/>
              </c:ext>
            </c:extLst>
          </c:dPt>
          <c:dPt>
            <c:idx val="7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ABDB-4F73-95B8-49F0A5FD656E}"/>
              </c:ext>
            </c:extLst>
          </c:dPt>
          <c:dPt>
            <c:idx val="7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ABDB-4F73-95B8-49F0A5FD656E}"/>
              </c:ext>
            </c:extLst>
          </c:dPt>
          <c:dPt>
            <c:idx val="7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ABDB-4F73-95B8-49F0A5FD656E}"/>
              </c:ext>
            </c:extLst>
          </c:dPt>
          <c:dPt>
            <c:idx val="7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ABDB-4F73-95B8-49F0A5FD656E}"/>
              </c:ext>
            </c:extLst>
          </c:dPt>
          <c:dPt>
            <c:idx val="7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ABDB-4F73-95B8-49F0A5FD656E}"/>
              </c:ext>
            </c:extLst>
          </c:dPt>
          <c:dPt>
            <c:idx val="7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ABDB-4F73-95B8-49F0A5FD656E}"/>
              </c:ext>
            </c:extLst>
          </c:dPt>
          <c:dPt>
            <c:idx val="7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ABDB-4F73-95B8-49F0A5FD656E}"/>
              </c:ext>
            </c:extLst>
          </c:dPt>
          <c:dPt>
            <c:idx val="7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ABDB-4F73-95B8-49F0A5FD656E}"/>
              </c:ext>
            </c:extLst>
          </c:dPt>
          <c:dPt>
            <c:idx val="7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ABDB-4F73-95B8-49F0A5FD656E}"/>
              </c:ext>
            </c:extLst>
          </c:dPt>
          <c:dPt>
            <c:idx val="7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ABDB-4F73-95B8-49F0A5FD656E}"/>
              </c:ext>
            </c:extLst>
          </c:dPt>
          <c:dPt>
            <c:idx val="8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ABDB-4F73-95B8-49F0A5FD656E}"/>
              </c:ext>
            </c:extLst>
          </c:dPt>
          <c:dPt>
            <c:idx val="8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ABDB-4F73-95B8-49F0A5FD656E}"/>
              </c:ext>
            </c:extLst>
          </c:dPt>
          <c:dPt>
            <c:idx val="8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ABDB-4F73-95B8-49F0A5FD656E}"/>
              </c:ext>
            </c:extLst>
          </c:dPt>
          <c:dPt>
            <c:idx val="8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ABDB-4F73-95B8-49F0A5FD656E}"/>
              </c:ext>
            </c:extLst>
          </c:dPt>
          <c:dPt>
            <c:idx val="8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ABDB-4F73-95B8-49F0A5FD656E}"/>
              </c:ext>
            </c:extLst>
          </c:dPt>
          <c:dPt>
            <c:idx val="8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ABDB-4F73-95B8-49F0A5FD656E}"/>
              </c:ext>
            </c:extLst>
          </c:dPt>
          <c:dPt>
            <c:idx val="8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ABDB-4F73-95B8-49F0A5FD656E}"/>
              </c:ext>
            </c:extLst>
          </c:dPt>
          <c:dPt>
            <c:idx val="8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ABDB-4F73-95B8-49F0A5FD656E}"/>
              </c:ext>
            </c:extLst>
          </c:dPt>
          <c:dPt>
            <c:idx val="8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ABDB-4F73-95B8-49F0A5FD656E}"/>
              </c:ext>
            </c:extLst>
          </c:dPt>
          <c:dPt>
            <c:idx val="8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ABDB-4F73-95B8-49F0A5FD656E}"/>
              </c:ext>
            </c:extLst>
          </c:dPt>
          <c:dPt>
            <c:idx val="9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ABDB-4F73-95B8-49F0A5FD656E}"/>
              </c:ext>
            </c:extLst>
          </c:dPt>
          <c:dPt>
            <c:idx val="9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ABDB-4F73-95B8-49F0A5FD656E}"/>
              </c:ext>
            </c:extLst>
          </c:dPt>
          <c:dPt>
            <c:idx val="9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ABDB-4F73-95B8-49F0A5FD656E}"/>
              </c:ext>
            </c:extLst>
          </c:dPt>
          <c:dPt>
            <c:idx val="9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ABDB-4F73-95B8-49F0A5FD656E}"/>
              </c:ext>
            </c:extLst>
          </c:dPt>
          <c:dPt>
            <c:idx val="9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ABDB-4F73-95B8-49F0A5FD656E}"/>
              </c:ext>
            </c:extLst>
          </c:dPt>
          <c:dPt>
            <c:idx val="9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ABDB-4F73-95B8-49F0A5FD656E}"/>
              </c:ext>
            </c:extLst>
          </c:dPt>
          <c:dPt>
            <c:idx val="9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ABDB-4F73-95B8-49F0A5FD656E}"/>
              </c:ext>
            </c:extLst>
          </c:dPt>
          <c:dPt>
            <c:idx val="9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ABDB-4F73-95B8-49F0A5FD656E}"/>
              </c:ext>
            </c:extLst>
          </c:dPt>
          <c:dPt>
            <c:idx val="9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ABDB-4F73-95B8-49F0A5FD656E}"/>
              </c:ext>
            </c:extLst>
          </c:dPt>
          <c:dPt>
            <c:idx val="9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ABDB-4F73-95B8-49F0A5FD656E}"/>
              </c:ext>
            </c:extLst>
          </c:dPt>
          <c:dPt>
            <c:idx val="10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ABDB-4F73-95B8-49F0A5FD656E}"/>
              </c:ext>
            </c:extLst>
          </c:dPt>
          <c:dPt>
            <c:idx val="10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ABDB-4F73-95B8-49F0A5FD656E}"/>
              </c:ext>
            </c:extLst>
          </c:dPt>
          <c:dPt>
            <c:idx val="10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ABDB-4F73-95B8-49F0A5FD656E}"/>
              </c:ext>
            </c:extLst>
          </c:dPt>
          <c:dPt>
            <c:idx val="10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ABDB-4F73-95B8-49F0A5FD656E}"/>
              </c:ext>
            </c:extLst>
          </c:dPt>
          <c:dPt>
            <c:idx val="10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ABDB-4F73-95B8-49F0A5FD656E}"/>
              </c:ext>
            </c:extLst>
          </c:dPt>
          <c:dPt>
            <c:idx val="10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ABDB-4F73-95B8-49F0A5FD656E}"/>
              </c:ext>
            </c:extLst>
          </c:dPt>
          <c:dPt>
            <c:idx val="10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ABDB-4F73-95B8-49F0A5FD656E}"/>
              </c:ext>
            </c:extLst>
          </c:dPt>
          <c:dPt>
            <c:idx val="10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ABDB-4F73-95B8-49F0A5FD656E}"/>
              </c:ext>
            </c:extLst>
          </c:dPt>
          <c:dPt>
            <c:idx val="10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ABDB-4F73-95B8-49F0A5FD656E}"/>
              </c:ext>
            </c:extLst>
          </c:dPt>
          <c:dPt>
            <c:idx val="10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ABDB-4F73-95B8-49F0A5FD656E}"/>
              </c:ext>
            </c:extLst>
          </c:dPt>
          <c:dPt>
            <c:idx val="11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ABDB-4F73-95B8-49F0A5FD656E}"/>
              </c:ext>
            </c:extLst>
          </c:dPt>
          <c:dPt>
            <c:idx val="11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ABDB-4F73-95B8-49F0A5FD656E}"/>
              </c:ext>
            </c:extLst>
          </c:dPt>
          <c:dPt>
            <c:idx val="11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ABDB-4F73-95B8-49F0A5FD656E}"/>
              </c:ext>
            </c:extLst>
          </c:dPt>
          <c:dPt>
            <c:idx val="11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ABDB-4F73-95B8-49F0A5FD656E}"/>
              </c:ext>
            </c:extLst>
          </c:dPt>
          <c:dPt>
            <c:idx val="11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ABDB-4F73-95B8-49F0A5FD656E}"/>
              </c:ext>
            </c:extLst>
          </c:dPt>
          <c:dPt>
            <c:idx val="11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ABDB-4F73-95B8-49F0A5FD656E}"/>
              </c:ext>
            </c:extLst>
          </c:dPt>
          <c:dPt>
            <c:idx val="11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ABDB-4F73-95B8-49F0A5FD656E}"/>
              </c:ext>
            </c:extLst>
          </c:dPt>
          <c:dPt>
            <c:idx val="11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ABDB-4F73-95B8-49F0A5FD656E}"/>
              </c:ext>
            </c:extLst>
          </c:dPt>
          <c:dPt>
            <c:idx val="11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ABDB-4F73-95B8-49F0A5FD656E}"/>
              </c:ext>
            </c:extLst>
          </c:dPt>
          <c:dPt>
            <c:idx val="11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ABDB-4F73-95B8-49F0A5FD656E}"/>
              </c:ext>
            </c:extLst>
          </c:dPt>
          <c:dPt>
            <c:idx val="12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ABDB-4F73-95B8-49F0A5FD656E}"/>
              </c:ext>
            </c:extLst>
          </c:dPt>
          <c:dPt>
            <c:idx val="12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ABDB-4F73-95B8-49F0A5FD656E}"/>
              </c:ext>
            </c:extLst>
          </c:dPt>
          <c:dPt>
            <c:idx val="12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ABDB-4F73-95B8-49F0A5FD656E}"/>
              </c:ext>
            </c:extLst>
          </c:dPt>
          <c:dPt>
            <c:idx val="12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ABDB-4F73-95B8-49F0A5FD656E}"/>
              </c:ext>
            </c:extLst>
          </c:dPt>
          <c:dPt>
            <c:idx val="12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ABDB-4F73-95B8-49F0A5FD656E}"/>
              </c:ext>
            </c:extLst>
          </c:dPt>
          <c:dPt>
            <c:idx val="12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ABDB-4F73-95B8-49F0A5FD656E}"/>
              </c:ext>
            </c:extLst>
          </c:dPt>
          <c:dPt>
            <c:idx val="12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ABDB-4F73-95B8-49F0A5FD656E}"/>
              </c:ext>
            </c:extLst>
          </c:dPt>
          <c:dPt>
            <c:idx val="12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ABDB-4F73-95B8-49F0A5FD656E}"/>
              </c:ext>
            </c:extLst>
          </c:dPt>
          <c:dPt>
            <c:idx val="12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ABDB-4F73-95B8-49F0A5FD656E}"/>
              </c:ext>
            </c:extLst>
          </c:dPt>
          <c:dPt>
            <c:idx val="12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ABDB-4F73-95B8-49F0A5FD656E}"/>
              </c:ext>
            </c:extLst>
          </c:dPt>
          <c:dPt>
            <c:idx val="13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ABDB-4F73-95B8-49F0A5FD656E}"/>
              </c:ext>
            </c:extLst>
          </c:dPt>
          <c:dPt>
            <c:idx val="13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ABDB-4F73-95B8-49F0A5FD656E}"/>
              </c:ext>
            </c:extLst>
          </c:dPt>
          <c:dPt>
            <c:idx val="13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ABDB-4F73-95B8-49F0A5FD656E}"/>
              </c:ext>
            </c:extLst>
          </c:dPt>
          <c:dPt>
            <c:idx val="13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ABDB-4F73-95B8-49F0A5FD656E}"/>
              </c:ext>
            </c:extLst>
          </c:dPt>
          <c:dPt>
            <c:idx val="13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ABDB-4F73-95B8-49F0A5FD656E}"/>
              </c:ext>
            </c:extLst>
          </c:dPt>
          <c:dPt>
            <c:idx val="13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ABDB-4F73-95B8-49F0A5FD656E}"/>
              </c:ext>
            </c:extLst>
          </c:dPt>
          <c:dPt>
            <c:idx val="13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ABDB-4F73-95B8-49F0A5FD656E}"/>
              </c:ext>
            </c:extLst>
          </c:dPt>
          <c:dPt>
            <c:idx val="13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ABDB-4F73-95B8-49F0A5FD656E}"/>
              </c:ext>
            </c:extLst>
          </c:dPt>
          <c:dPt>
            <c:idx val="13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ABDB-4F73-95B8-49F0A5FD656E}"/>
              </c:ext>
            </c:extLst>
          </c:dPt>
          <c:dPt>
            <c:idx val="13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ABDB-4F73-95B8-49F0A5FD656E}"/>
              </c:ext>
            </c:extLst>
          </c:dPt>
          <c:dPt>
            <c:idx val="14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ABDB-4F73-95B8-49F0A5FD656E}"/>
              </c:ext>
            </c:extLst>
          </c:dPt>
          <c:dPt>
            <c:idx val="14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ABDB-4F73-95B8-49F0A5FD656E}"/>
              </c:ext>
            </c:extLst>
          </c:dPt>
          <c:dPt>
            <c:idx val="14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ABDB-4F73-95B8-49F0A5FD656E}"/>
              </c:ext>
            </c:extLst>
          </c:dPt>
          <c:dPt>
            <c:idx val="14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ABDB-4F73-95B8-49F0A5FD656E}"/>
              </c:ext>
            </c:extLst>
          </c:dPt>
          <c:dPt>
            <c:idx val="14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ABDB-4F73-95B8-49F0A5FD656E}"/>
              </c:ext>
            </c:extLst>
          </c:dPt>
          <c:dPt>
            <c:idx val="14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ABDB-4F73-95B8-49F0A5FD656E}"/>
              </c:ext>
            </c:extLst>
          </c:dPt>
          <c:dPt>
            <c:idx val="14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ABDB-4F73-95B8-49F0A5FD656E}"/>
              </c:ext>
            </c:extLst>
          </c:dPt>
          <c:dPt>
            <c:idx val="14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ABDB-4F73-95B8-49F0A5FD656E}"/>
              </c:ext>
            </c:extLst>
          </c:dPt>
          <c:dPt>
            <c:idx val="14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ABDB-4F73-95B8-49F0A5FD656E}"/>
              </c:ext>
            </c:extLst>
          </c:dPt>
          <c:dPt>
            <c:idx val="14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ABDB-4F73-95B8-49F0A5FD656E}"/>
              </c:ext>
            </c:extLst>
          </c:dPt>
          <c:dPt>
            <c:idx val="15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ABDB-4F73-95B8-49F0A5FD656E}"/>
              </c:ext>
            </c:extLst>
          </c:dPt>
          <c:dPt>
            <c:idx val="15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ABDB-4F73-95B8-49F0A5FD656E}"/>
              </c:ext>
            </c:extLst>
          </c:dPt>
          <c:dPt>
            <c:idx val="15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ABDB-4F73-95B8-49F0A5FD656E}"/>
              </c:ext>
            </c:extLst>
          </c:dPt>
          <c:dPt>
            <c:idx val="15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ABDB-4F73-95B8-49F0A5FD656E}"/>
              </c:ext>
            </c:extLst>
          </c:dPt>
          <c:dPt>
            <c:idx val="15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ABDB-4F73-95B8-49F0A5FD656E}"/>
              </c:ext>
            </c:extLst>
          </c:dPt>
          <c:dPt>
            <c:idx val="15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ABDB-4F73-95B8-49F0A5FD656E}"/>
              </c:ext>
            </c:extLst>
          </c:dPt>
          <c:dPt>
            <c:idx val="15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ABDB-4F73-95B8-49F0A5FD656E}"/>
              </c:ext>
            </c:extLst>
          </c:dPt>
          <c:dPt>
            <c:idx val="15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ABDB-4F73-95B8-49F0A5FD656E}"/>
              </c:ext>
            </c:extLst>
          </c:dPt>
          <c:dPt>
            <c:idx val="15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ABDB-4F73-95B8-49F0A5FD656E}"/>
              </c:ext>
            </c:extLst>
          </c:dPt>
          <c:dPt>
            <c:idx val="15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ABDB-4F73-95B8-49F0A5FD656E}"/>
              </c:ext>
            </c:extLst>
          </c:dPt>
          <c:dPt>
            <c:idx val="16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ABDB-4F73-95B8-49F0A5FD656E}"/>
              </c:ext>
            </c:extLst>
          </c:dPt>
          <c:dPt>
            <c:idx val="16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ABDB-4F73-95B8-49F0A5FD656E}"/>
              </c:ext>
            </c:extLst>
          </c:dPt>
          <c:dPt>
            <c:idx val="16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ABDB-4F73-95B8-49F0A5FD656E}"/>
              </c:ext>
            </c:extLst>
          </c:dPt>
          <c:dPt>
            <c:idx val="16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ABDB-4F73-95B8-49F0A5FD656E}"/>
              </c:ext>
            </c:extLst>
          </c:dPt>
          <c:dPt>
            <c:idx val="16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ABDB-4F73-95B8-49F0A5FD656E}"/>
              </c:ext>
            </c:extLst>
          </c:dPt>
          <c:dPt>
            <c:idx val="16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ABDB-4F73-95B8-49F0A5FD656E}"/>
              </c:ext>
            </c:extLst>
          </c:dPt>
          <c:dPt>
            <c:idx val="16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ABDB-4F73-95B8-49F0A5FD656E}"/>
              </c:ext>
            </c:extLst>
          </c:dPt>
          <c:dPt>
            <c:idx val="16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ABDB-4F73-95B8-49F0A5FD656E}"/>
              </c:ext>
            </c:extLst>
          </c:dPt>
          <c:dPt>
            <c:idx val="16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ABDB-4F73-95B8-49F0A5FD656E}"/>
              </c:ext>
            </c:extLst>
          </c:dPt>
          <c:dPt>
            <c:idx val="16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ABDB-4F73-95B8-49F0A5FD656E}"/>
              </c:ext>
            </c:extLst>
          </c:dPt>
          <c:dPt>
            <c:idx val="17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ABDB-4F73-95B8-49F0A5FD656E}"/>
              </c:ext>
            </c:extLst>
          </c:dPt>
          <c:dPt>
            <c:idx val="17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ABDB-4F73-95B8-49F0A5FD656E}"/>
              </c:ext>
            </c:extLst>
          </c:dPt>
          <c:dPt>
            <c:idx val="17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ABDB-4F73-95B8-49F0A5FD656E}"/>
              </c:ext>
            </c:extLst>
          </c:dPt>
          <c:dPt>
            <c:idx val="17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ABDB-4F73-95B8-49F0A5FD656E}"/>
              </c:ext>
            </c:extLst>
          </c:dPt>
          <c:dPt>
            <c:idx val="17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ABDB-4F73-95B8-49F0A5FD656E}"/>
              </c:ext>
            </c:extLst>
          </c:dPt>
          <c:dPt>
            <c:idx val="17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ABDB-4F73-95B8-49F0A5FD656E}"/>
              </c:ext>
            </c:extLst>
          </c:dPt>
          <c:dPt>
            <c:idx val="17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ABDB-4F73-95B8-49F0A5FD656E}"/>
              </c:ext>
            </c:extLst>
          </c:dPt>
          <c:dPt>
            <c:idx val="17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ABDB-4F73-95B8-49F0A5FD656E}"/>
              </c:ext>
            </c:extLst>
          </c:dPt>
          <c:dPt>
            <c:idx val="17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ABDB-4F73-95B8-49F0A5FD656E}"/>
              </c:ext>
            </c:extLst>
          </c:dPt>
          <c:dPt>
            <c:idx val="17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ABDB-4F73-95B8-49F0A5FD656E}"/>
              </c:ext>
            </c:extLst>
          </c:dPt>
          <c:dPt>
            <c:idx val="18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ABDB-4F73-95B8-49F0A5FD656E}"/>
              </c:ext>
            </c:extLst>
          </c:dPt>
          <c:dPt>
            <c:idx val="18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ABDB-4F73-95B8-49F0A5FD656E}"/>
              </c:ext>
            </c:extLst>
          </c:dPt>
          <c:dPt>
            <c:idx val="18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ABDB-4F73-95B8-49F0A5FD656E}"/>
              </c:ext>
            </c:extLst>
          </c:dPt>
          <c:dPt>
            <c:idx val="18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ABDB-4F73-95B8-49F0A5FD656E}"/>
              </c:ext>
            </c:extLst>
          </c:dPt>
          <c:dPt>
            <c:idx val="18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ABDB-4F73-95B8-49F0A5FD656E}"/>
              </c:ext>
            </c:extLst>
          </c:dPt>
          <c:dPt>
            <c:idx val="18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ABDB-4F73-95B8-49F0A5FD656E}"/>
              </c:ext>
            </c:extLst>
          </c:dPt>
          <c:dPt>
            <c:idx val="18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ABDB-4F73-95B8-49F0A5FD656E}"/>
              </c:ext>
            </c:extLst>
          </c:dPt>
          <c:dPt>
            <c:idx val="18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ABDB-4F73-95B8-49F0A5FD656E}"/>
              </c:ext>
            </c:extLst>
          </c:dPt>
          <c:dPt>
            <c:idx val="18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ABDB-4F73-95B8-49F0A5FD656E}"/>
              </c:ext>
            </c:extLst>
          </c:dPt>
          <c:dPt>
            <c:idx val="18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ABDB-4F73-95B8-49F0A5FD656E}"/>
              </c:ext>
            </c:extLst>
          </c:dPt>
          <c:dPt>
            <c:idx val="19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ABDB-4F73-95B8-49F0A5FD656E}"/>
              </c:ext>
            </c:extLst>
          </c:dPt>
          <c:dPt>
            <c:idx val="19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ABDB-4F73-95B8-49F0A5FD656E}"/>
              </c:ext>
            </c:extLst>
          </c:dPt>
          <c:dPt>
            <c:idx val="19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ABDB-4F73-95B8-49F0A5FD656E}"/>
              </c:ext>
            </c:extLst>
          </c:dPt>
          <c:dPt>
            <c:idx val="19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ABDB-4F73-95B8-49F0A5FD656E}"/>
              </c:ext>
            </c:extLst>
          </c:dPt>
          <c:dPt>
            <c:idx val="19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ABDB-4F73-95B8-49F0A5FD656E}"/>
              </c:ext>
            </c:extLst>
          </c:dPt>
          <c:dPt>
            <c:idx val="19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ABDB-4F73-95B8-49F0A5FD656E}"/>
              </c:ext>
            </c:extLst>
          </c:dPt>
          <c:dPt>
            <c:idx val="19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ABDB-4F73-95B8-49F0A5FD656E}"/>
              </c:ext>
            </c:extLst>
          </c:dPt>
          <c:dPt>
            <c:idx val="19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ABDB-4F73-95B8-49F0A5FD656E}"/>
              </c:ext>
            </c:extLst>
          </c:dPt>
          <c:dPt>
            <c:idx val="19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ABDB-4F73-95B8-49F0A5FD656E}"/>
              </c:ext>
            </c:extLst>
          </c:dPt>
          <c:dPt>
            <c:idx val="19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ABDB-4F73-95B8-49F0A5FD656E}"/>
              </c:ext>
            </c:extLst>
          </c:dPt>
          <c:dPt>
            <c:idx val="20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ABDB-4F73-95B8-49F0A5FD656E}"/>
              </c:ext>
            </c:extLst>
          </c:dPt>
          <c:dPt>
            <c:idx val="20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ABDB-4F73-95B8-49F0A5FD656E}"/>
              </c:ext>
            </c:extLst>
          </c:dPt>
          <c:dPt>
            <c:idx val="20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ABDB-4F73-95B8-49F0A5FD656E}"/>
              </c:ext>
            </c:extLst>
          </c:dPt>
          <c:dPt>
            <c:idx val="20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ABDB-4F73-95B8-49F0A5FD656E}"/>
              </c:ext>
            </c:extLst>
          </c:dPt>
          <c:dPt>
            <c:idx val="20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ABDB-4F73-95B8-49F0A5FD656E}"/>
              </c:ext>
            </c:extLst>
          </c:dPt>
          <c:dPt>
            <c:idx val="20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ABDB-4F73-95B8-49F0A5FD656E}"/>
              </c:ext>
            </c:extLst>
          </c:dPt>
          <c:dPt>
            <c:idx val="20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ABDB-4F73-95B8-49F0A5FD656E}"/>
              </c:ext>
            </c:extLst>
          </c:dPt>
          <c:dPt>
            <c:idx val="20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ABDB-4F73-95B8-49F0A5FD656E}"/>
              </c:ext>
            </c:extLst>
          </c:dPt>
          <c:dPt>
            <c:idx val="20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ABDB-4F73-95B8-49F0A5FD656E}"/>
              </c:ext>
            </c:extLst>
          </c:dPt>
          <c:dPt>
            <c:idx val="20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ABDB-4F73-95B8-49F0A5FD656E}"/>
              </c:ext>
            </c:extLst>
          </c:dPt>
          <c:dPt>
            <c:idx val="21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ABDB-4F73-95B8-49F0A5FD656E}"/>
              </c:ext>
            </c:extLst>
          </c:dPt>
          <c:dPt>
            <c:idx val="21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ABDB-4F73-95B8-49F0A5FD656E}"/>
              </c:ext>
            </c:extLst>
          </c:dPt>
          <c:dPt>
            <c:idx val="21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ABDB-4F73-95B8-49F0A5FD656E}"/>
              </c:ext>
            </c:extLst>
          </c:dPt>
          <c:dPt>
            <c:idx val="21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ABDB-4F73-95B8-49F0A5FD656E}"/>
              </c:ext>
            </c:extLst>
          </c:dPt>
          <c:dPt>
            <c:idx val="214"/>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ABDB-4F73-95B8-49F0A5FD656E}"/>
              </c:ext>
            </c:extLst>
          </c:dPt>
          <c:dPt>
            <c:idx val="215"/>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ABDB-4F73-95B8-49F0A5FD656E}"/>
              </c:ext>
            </c:extLst>
          </c:dPt>
          <c:dPt>
            <c:idx val="216"/>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ABDB-4F73-95B8-49F0A5FD656E}"/>
              </c:ext>
            </c:extLst>
          </c:dPt>
          <c:dPt>
            <c:idx val="217"/>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ABDB-4F73-95B8-49F0A5FD656E}"/>
              </c:ext>
            </c:extLst>
          </c:dPt>
          <c:dPt>
            <c:idx val="218"/>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ABDB-4F73-95B8-49F0A5FD656E}"/>
              </c:ext>
            </c:extLst>
          </c:dPt>
          <c:dPt>
            <c:idx val="219"/>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ABDB-4F73-95B8-49F0A5FD656E}"/>
              </c:ext>
            </c:extLst>
          </c:dPt>
          <c:dPt>
            <c:idx val="220"/>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ABDB-4F73-95B8-49F0A5FD656E}"/>
              </c:ext>
            </c:extLst>
          </c:dPt>
          <c:dPt>
            <c:idx val="221"/>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ABDB-4F73-95B8-49F0A5FD656E}"/>
              </c:ext>
            </c:extLst>
          </c:dPt>
          <c:dPt>
            <c:idx val="222"/>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ABDB-4F73-95B8-49F0A5FD656E}"/>
              </c:ext>
            </c:extLst>
          </c:dPt>
          <c:dPt>
            <c:idx val="223"/>
            <c:bubble3D val="0"/>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ABDB-4F73-95B8-49F0A5FD656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Sheet2!$E$4:$E$12</c:f>
              <c:multiLvlStrCache>
                <c:ptCount val="7"/>
                <c:lvl>
                  <c:pt idx="0">
                    <c:v>Eagles</c:v>
                  </c:pt>
                  <c:pt idx="1">
                    <c:v>Birdies</c:v>
                  </c:pt>
                  <c:pt idx="2">
                    <c:v>Pars</c:v>
                  </c:pt>
                  <c:pt idx="3">
                    <c:v>Bogeys</c:v>
                  </c:pt>
                  <c:pt idx="4">
                    <c:v>Doubles</c:v>
                  </c:pt>
                  <c:pt idx="5">
                    <c:v>Triples</c:v>
                  </c:pt>
                  <c:pt idx="6">
                    <c:v>Quads+</c:v>
                  </c:pt>
                </c:lvl>
                <c:lvl>
                  <c:pt idx="0">
                    <c:v>Clay</c:v>
                  </c:pt>
                </c:lvl>
              </c:multiLvlStrCache>
            </c:multiLvlStrRef>
          </c:cat>
          <c:val>
            <c:numRef>
              <c:f>Sheet2!$F$4:$F$12</c:f>
              <c:numCache>
                <c:formatCode>General</c:formatCode>
                <c:ptCount val="7"/>
                <c:pt idx="0">
                  <c:v>0</c:v>
                </c:pt>
                <c:pt idx="1">
                  <c:v>2</c:v>
                </c:pt>
                <c:pt idx="2">
                  <c:v>7</c:v>
                </c:pt>
                <c:pt idx="3">
                  <c:v>7</c:v>
                </c:pt>
                <c:pt idx="4">
                  <c:v>2</c:v>
                </c:pt>
                <c:pt idx="5">
                  <c:v>0</c:v>
                </c:pt>
                <c:pt idx="6">
                  <c:v>0</c:v>
                </c:pt>
              </c:numCache>
            </c:numRef>
          </c:val>
          <c:extLst>
            <c:ext xmlns:c16="http://schemas.microsoft.com/office/drawing/2014/chart" uri="{C3380CC4-5D6E-409C-BE32-E72D297353CC}">
              <c16:uniqueId val="{000001C0-ABDB-4F73-95B8-49F0A5FD656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Score Over Par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Data!$AA$52</c:f>
              <c:strCache>
                <c:ptCount val="1"/>
                <c:pt idx="0">
                  <c:v>Others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Data!$Y$53:$Y$70</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Data!$AA$53:$AA$70</c:f>
              <c:numCache>
                <c:formatCode>General</c:formatCode>
                <c:ptCount val="18"/>
                <c:pt idx="0">
                  <c:v>1.05</c:v>
                </c:pt>
                <c:pt idx="1">
                  <c:v>1.43</c:v>
                </c:pt>
                <c:pt idx="2">
                  <c:v>0.85</c:v>
                </c:pt>
                <c:pt idx="3">
                  <c:v>1.03</c:v>
                </c:pt>
                <c:pt idx="4">
                  <c:v>#N/A</c:v>
                </c:pt>
                <c:pt idx="5">
                  <c:v>0.32</c:v>
                </c:pt>
                <c:pt idx="6">
                  <c:v>1.47</c:v>
                </c:pt>
                <c:pt idx="7">
                  <c:v>0.85</c:v>
                </c:pt>
                <c:pt idx="8">
                  <c:v>1.23</c:v>
                </c:pt>
                <c:pt idx="9">
                  <c:v>1.83</c:v>
                </c:pt>
                <c:pt idx="10">
                  <c:v>1.08</c:v>
                </c:pt>
                <c:pt idx="11">
                  <c:v>0.97</c:v>
                </c:pt>
                <c:pt idx="12">
                  <c:v>1.05</c:v>
                </c:pt>
                <c:pt idx="13">
                  <c:v>1.02</c:v>
                </c:pt>
                <c:pt idx="14">
                  <c:v>1.3</c:v>
                </c:pt>
                <c:pt idx="15">
                  <c:v>0.55000000000000004</c:v>
                </c:pt>
                <c:pt idx="16">
                  <c:v>1.42</c:v>
                </c:pt>
                <c:pt idx="17">
                  <c:v>1.77</c:v>
                </c:pt>
              </c:numCache>
            </c:numRef>
          </c:val>
          <c:extLst>
            <c:ext xmlns:c16="http://schemas.microsoft.com/office/drawing/2014/chart" uri="{C3380CC4-5D6E-409C-BE32-E72D297353CC}">
              <c16:uniqueId val="{00000000-BF06-42B3-9001-95E8C06E9463}"/>
            </c:ext>
          </c:extLst>
        </c:ser>
        <c:ser>
          <c:idx val="1"/>
          <c:order val="1"/>
          <c:tx>
            <c:strRef>
              <c:f>Data!$AB$52</c:f>
              <c:strCache>
                <c:ptCount val="1"/>
                <c:pt idx="0">
                  <c:v>Selected Hole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Data!$Y$53:$Y$70</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cat>
          <c:val>
            <c:numRef>
              <c:f>Data!$AB$53:$AB$70</c:f>
              <c:numCache>
                <c:formatCode>General</c:formatCode>
                <c:ptCount val="18"/>
                <c:pt idx="0">
                  <c:v>#N/A</c:v>
                </c:pt>
                <c:pt idx="1">
                  <c:v>#N/A</c:v>
                </c:pt>
                <c:pt idx="2">
                  <c:v>#N/A</c:v>
                </c:pt>
                <c:pt idx="3">
                  <c:v>#N/A</c:v>
                </c:pt>
                <c:pt idx="4">
                  <c:v>1.1599999999999999</c:v>
                </c:pt>
                <c:pt idx="5">
                  <c:v>#N/A</c:v>
                </c:pt>
                <c:pt idx="6">
                  <c:v>#N/A</c:v>
                </c:pt>
                <c:pt idx="7">
                  <c:v>#N/A</c:v>
                </c:pt>
                <c:pt idx="8">
                  <c:v>#N/A</c:v>
                </c:pt>
                <c:pt idx="9">
                  <c:v>#N/A</c:v>
                </c:pt>
                <c:pt idx="10">
                  <c:v>#N/A</c:v>
                </c:pt>
                <c:pt idx="11">
                  <c:v>#N/A</c:v>
                </c:pt>
                <c:pt idx="12">
                  <c:v>#N/A</c:v>
                </c:pt>
                <c:pt idx="13">
                  <c:v>#N/A</c:v>
                </c:pt>
                <c:pt idx="14">
                  <c:v>#N/A</c:v>
                </c:pt>
                <c:pt idx="15">
                  <c:v>#N/A</c:v>
                </c:pt>
                <c:pt idx="16">
                  <c:v>#N/A</c:v>
                </c:pt>
                <c:pt idx="17">
                  <c:v>#N/A</c:v>
                </c:pt>
              </c:numCache>
            </c:numRef>
          </c:val>
          <c:extLst>
            <c:ext xmlns:c16="http://schemas.microsoft.com/office/drawing/2014/chart" uri="{C3380CC4-5D6E-409C-BE32-E72D297353CC}">
              <c16:uniqueId val="{00000001-BF06-42B3-9001-95E8C06E9463}"/>
            </c:ext>
          </c:extLst>
        </c:ser>
        <c:dLbls>
          <c:showLegendKey val="0"/>
          <c:showVal val="0"/>
          <c:showCatName val="0"/>
          <c:showSerName val="0"/>
          <c:showPercent val="0"/>
          <c:showBubbleSize val="0"/>
        </c:dLbls>
        <c:gapWidth val="150"/>
        <c:overlap val="100"/>
        <c:axId val="765003696"/>
        <c:axId val="765004176"/>
      </c:barChart>
      <c:catAx>
        <c:axId val="765003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04176"/>
        <c:crosses val="autoZero"/>
        <c:auto val="1"/>
        <c:lblAlgn val="ctr"/>
        <c:lblOffset val="100"/>
        <c:noMultiLvlLbl val="0"/>
      </c:catAx>
      <c:valAx>
        <c:axId val="7650041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03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37</xdr:col>
      <xdr:colOff>728662</xdr:colOff>
      <xdr:row>0</xdr:row>
      <xdr:rowOff>90487</xdr:rowOff>
    </xdr:from>
    <xdr:to>
      <xdr:col>46</xdr:col>
      <xdr:colOff>185737</xdr:colOff>
      <xdr:row>14</xdr:row>
      <xdr:rowOff>166687</xdr:rowOff>
    </xdr:to>
    <xdr:graphicFrame macro="">
      <xdr:nvGraphicFramePr>
        <xdr:cNvPr id="7" name="Chart 6">
          <a:extLst>
            <a:ext uri="{FF2B5EF4-FFF2-40B4-BE49-F238E27FC236}">
              <a16:creationId xmlns:a16="http://schemas.microsoft.com/office/drawing/2014/main" id="{85B369C7-AC2E-F209-E889-A2EFA7C0A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75</xdr:col>
      <xdr:colOff>152400</xdr:colOff>
      <xdr:row>66</xdr:row>
      <xdr:rowOff>38100</xdr:rowOff>
    </xdr:from>
    <xdr:to>
      <xdr:col>76</xdr:col>
      <xdr:colOff>1063954</xdr:colOff>
      <xdr:row>80</xdr:row>
      <xdr:rowOff>38100</xdr:rowOff>
    </xdr:to>
    <mc:AlternateContent xmlns:mc="http://schemas.openxmlformats.org/markup-compatibility/2006" xmlns:a14="http://schemas.microsoft.com/office/drawing/2010/main">
      <mc:Choice Requires="a14">
        <xdr:graphicFrame macro="">
          <xdr:nvGraphicFramePr>
            <xdr:cNvPr id="10" name="Player 1">
              <a:extLst>
                <a:ext uri="{FF2B5EF4-FFF2-40B4-BE49-F238E27FC236}">
                  <a16:creationId xmlns:a16="http://schemas.microsoft.com/office/drawing/2014/main" id="{F7B275AE-F376-D05F-F09E-79BDE5CBFB7C}"/>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48883176" y="12322066"/>
              <a:ext cx="1831209" cy="2605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381000</xdr:colOff>
      <xdr:row>136</xdr:row>
      <xdr:rowOff>133350</xdr:rowOff>
    </xdr:from>
    <xdr:to>
      <xdr:col>79</xdr:col>
      <xdr:colOff>1292553</xdr:colOff>
      <xdr:row>150</xdr:row>
      <xdr:rowOff>133350</xdr:rowOff>
    </xdr:to>
    <mc:AlternateContent xmlns:mc="http://schemas.openxmlformats.org/markup-compatibility/2006" xmlns:a14="http://schemas.microsoft.com/office/drawing/2010/main">
      <mc:Choice Requires="a14">
        <xdr:graphicFrame macro="">
          <xdr:nvGraphicFramePr>
            <xdr:cNvPr id="11" name="Player 2">
              <a:extLst>
                <a:ext uri="{FF2B5EF4-FFF2-40B4-BE49-F238E27FC236}">
                  <a16:creationId xmlns:a16="http://schemas.microsoft.com/office/drawing/2014/main" id="{8D4619DD-F851-AEED-B60D-A909213193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52472897" y="25445764"/>
              <a:ext cx="1831209" cy="2605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32</xdr:col>
      <xdr:colOff>108513</xdr:colOff>
      <xdr:row>13</xdr:row>
      <xdr:rowOff>140249</xdr:rowOff>
    </xdr:from>
    <xdr:to>
      <xdr:col>42</xdr:col>
      <xdr:colOff>349652</xdr:colOff>
      <xdr:row>37</xdr:row>
      <xdr:rowOff>26469</xdr:rowOff>
    </xdr:to>
    <xdr:sp macro="" textlink="">
      <xdr:nvSpPr>
        <xdr:cNvPr id="11" name="Rectangle 10">
          <a:extLst>
            <a:ext uri="{FF2B5EF4-FFF2-40B4-BE49-F238E27FC236}">
              <a16:creationId xmlns:a16="http://schemas.microsoft.com/office/drawing/2014/main" id="{0B1DA70D-469E-271B-C926-C6008D0E4FA4}"/>
            </a:ext>
          </a:extLst>
        </xdr:cNvPr>
        <xdr:cNvSpPr/>
      </xdr:nvSpPr>
      <xdr:spPr>
        <a:xfrm>
          <a:off x="19727823" y="2559818"/>
          <a:ext cx="6372174" cy="4353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108512</xdr:colOff>
      <xdr:row>12</xdr:row>
      <xdr:rowOff>180854</xdr:rowOff>
    </xdr:from>
    <xdr:to>
      <xdr:col>31</xdr:col>
      <xdr:colOff>506392</xdr:colOff>
      <xdr:row>50</xdr:row>
      <xdr:rowOff>180854</xdr:rowOff>
    </xdr:to>
    <xdr:sp macro="" textlink="">
      <xdr:nvSpPr>
        <xdr:cNvPr id="7" name="Rectangle 6">
          <a:extLst>
            <a:ext uri="{FF2B5EF4-FFF2-40B4-BE49-F238E27FC236}">
              <a16:creationId xmlns:a16="http://schemas.microsoft.com/office/drawing/2014/main" id="{A095A000-C7FF-ABB5-D427-6B65871238EB}"/>
            </a:ext>
          </a:extLst>
        </xdr:cNvPr>
        <xdr:cNvSpPr/>
      </xdr:nvSpPr>
      <xdr:spPr>
        <a:xfrm>
          <a:off x="8102278" y="2495791"/>
          <a:ext cx="11466171" cy="73306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110776</xdr:colOff>
      <xdr:row>13</xdr:row>
      <xdr:rowOff>0</xdr:rowOff>
    </xdr:from>
    <xdr:to>
      <xdr:col>24</xdr:col>
      <xdr:colOff>272701</xdr:colOff>
      <xdr:row>31</xdr:row>
      <xdr:rowOff>133350</xdr:rowOff>
    </xdr:to>
    <xdr:graphicFrame macro="">
      <xdr:nvGraphicFramePr>
        <xdr:cNvPr id="3" name="Chart 2">
          <a:extLst>
            <a:ext uri="{FF2B5EF4-FFF2-40B4-BE49-F238E27FC236}">
              <a16:creationId xmlns:a16="http://schemas.microsoft.com/office/drawing/2014/main" id="{4106B16B-531C-43A1-9211-B321C1021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114300</xdr:colOff>
      <xdr:row>31</xdr:row>
      <xdr:rowOff>133350</xdr:rowOff>
    </xdr:from>
    <xdr:to>
      <xdr:col>24</xdr:col>
      <xdr:colOff>295274</xdr:colOff>
      <xdr:row>50</xdr:row>
      <xdr:rowOff>161925</xdr:rowOff>
    </xdr:to>
    <xdr:grpSp>
      <xdr:nvGrpSpPr>
        <xdr:cNvPr id="6" name="Group 5">
          <a:extLst>
            <a:ext uri="{FF2B5EF4-FFF2-40B4-BE49-F238E27FC236}">
              <a16:creationId xmlns:a16="http://schemas.microsoft.com/office/drawing/2014/main" id="{2566D9DA-E4DF-A7D0-C8B9-1CB8C48A61F0}"/>
            </a:ext>
          </a:extLst>
        </xdr:cNvPr>
        <xdr:cNvGrpSpPr/>
      </xdr:nvGrpSpPr>
      <xdr:grpSpPr>
        <a:xfrm>
          <a:off x="8074479" y="6038850"/>
          <a:ext cx="6916509" cy="3648075"/>
          <a:chOff x="8039100" y="6038850"/>
          <a:chExt cx="6886574" cy="3648075"/>
        </a:xfrm>
      </xdr:grpSpPr>
      <mc:AlternateContent xmlns:mc="http://schemas.openxmlformats.org/markup-compatibility/2006" xmlns:a14="http://schemas.microsoft.com/office/drawing/2010/main">
        <mc:Choice Requires="a14">
          <xdr:graphicFrame macro="">
            <xdr:nvGraphicFramePr>
              <xdr:cNvPr id="2" name="Hole">
                <a:extLst>
                  <a:ext uri="{FF2B5EF4-FFF2-40B4-BE49-F238E27FC236}">
                    <a16:creationId xmlns:a16="http://schemas.microsoft.com/office/drawing/2014/main" id="{02090976-B9F1-4F06-9DA5-968D9140E829}"/>
                  </a:ext>
                </a:extLst>
              </xdr:cNvPr>
              <xdr:cNvGraphicFramePr/>
            </xdr:nvGraphicFramePr>
            <xdr:xfrm>
              <a:off x="8039100" y="6038850"/>
              <a:ext cx="1790700" cy="3638550"/>
            </xdr:xfrm>
            <a:graphic>
              <a:graphicData uri="http://schemas.microsoft.com/office/drawing/2010/slicer">
                <sle:slicer xmlns:sle="http://schemas.microsoft.com/office/drawing/2010/slicer" name="Hole"/>
              </a:graphicData>
            </a:graphic>
          </xdr:graphicFrame>
        </mc:Choice>
        <mc:Fallback xmlns="">
          <xdr:sp macro="" textlink="">
            <xdr:nvSpPr>
              <xdr:cNvPr id="0" name=""/>
              <xdr:cNvSpPr>
                <a:spLocks noTextEdit="1"/>
              </xdr:cNvSpPr>
            </xdr:nvSpPr>
            <xdr:spPr>
              <a:xfrm>
                <a:off x="8039100" y="6038850"/>
                <a:ext cx="1790700" cy="363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 name="Chart 4">
            <a:extLst>
              <a:ext uri="{FF2B5EF4-FFF2-40B4-BE49-F238E27FC236}">
                <a16:creationId xmlns:a16="http://schemas.microsoft.com/office/drawing/2014/main" id="{AB9F8DAC-F82D-4E6D-8E62-7476D9538AA5}"/>
              </a:ext>
            </a:extLst>
          </xdr:cNvPr>
          <xdr:cNvGraphicFramePr>
            <a:graphicFrameLocks/>
          </xdr:cNvGraphicFramePr>
        </xdr:nvGraphicFramePr>
        <xdr:xfrm>
          <a:off x="9810749" y="6038850"/>
          <a:ext cx="5114925" cy="36480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24</xdr:col>
      <xdr:colOff>257171</xdr:colOff>
      <xdr:row>13</xdr:row>
      <xdr:rowOff>0</xdr:rowOff>
    </xdr:from>
    <xdr:to>
      <xdr:col>31</xdr:col>
      <xdr:colOff>485774</xdr:colOff>
      <xdr:row>26</xdr:row>
      <xdr:rowOff>0</xdr:rowOff>
    </xdr:to>
    <xdr:grpSp>
      <xdr:nvGrpSpPr>
        <xdr:cNvPr id="10" name="Group 9">
          <a:extLst>
            <a:ext uri="{FF2B5EF4-FFF2-40B4-BE49-F238E27FC236}">
              <a16:creationId xmlns:a16="http://schemas.microsoft.com/office/drawing/2014/main" id="{C855D5B7-C4B0-323F-F3C9-14A2FF61FF67}"/>
            </a:ext>
          </a:extLst>
        </xdr:cNvPr>
        <xdr:cNvGrpSpPr/>
      </xdr:nvGrpSpPr>
      <xdr:grpSpPr>
        <a:xfrm>
          <a:off x="14952885" y="2476500"/>
          <a:ext cx="4514853" cy="2476500"/>
          <a:chOff x="15678149" y="4371975"/>
          <a:chExt cx="2457132" cy="2809875"/>
        </a:xfrm>
        <a:solidFill>
          <a:schemeClr val="accent1">
            <a:lumMod val="75000"/>
          </a:schemeClr>
        </a:solidFill>
      </xdr:grpSpPr>
      <xdr:sp macro="" textlink="Data!AM16">
        <xdr:nvSpPr>
          <xdr:cNvPr id="4" name="TextBox 3">
            <a:extLst>
              <a:ext uri="{FF2B5EF4-FFF2-40B4-BE49-F238E27FC236}">
                <a16:creationId xmlns:a16="http://schemas.microsoft.com/office/drawing/2014/main" id="{6BB5451C-3798-E82F-5935-6DE19A9E49B8}"/>
              </a:ext>
            </a:extLst>
          </xdr:cNvPr>
          <xdr:cNvSpPr txBox="1"/>
        </xdr:nvSpPr>
        <xdr:spPr>
          <a:xfrm>
            <a:off x="15678149" y="4371975"/>
            <a:ext cx="2457132" cy="97155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871E45-7437-413D-ADE2-AD529BDE549B}" type="TxLink">
              <a:rPr lang="en-US" sz="3200" b="0" i="0" u="none" strike="noStrike">
                <a:solidFill>
                  <a:schemeClr val="bg1"/>
                </a:solidFill>
                <a:latin typeface="Abadi" panose="020F0502020204030204" pitchFamily="34" charset="0"/>
              </a:rPr>
              <a:pPr algn="ctr"/>
              <a:t>Hole # 5</a:t>
            </a:fld>
            <a:endParaRPr lang="en-US" sz="3200">
              <a:solidFill>
                <a:schemeClr val="bg1"/>
              </a:solidFill>
              <a:latin typeface="Abadi" panose="020F0502020204030204" pitchFamily="34" charset="0"/>
            </a:endParaRPr>
          </a:p>
        </xdr:txBody>
      </xdr:sp>
      <xdr:sp macro="" textlink="Data!AP16">
        <xdr:nvSpPr>
          <xdr:cNvPr id="8" name="TextBox 7">
            <a:extLst>
              <a:ext uri="{FF2B5EF4-FFF2-40B4-BE49-F238E27FC236}">
                <a16:creationId xmlns:a16="http://schemas.microsoft.com/office/drawing/2014/main" id="{2196842F-BCC4-18D8-F942-E6D8B7D9DE56}"/>
              </a:ext>
            </a:extLst>
          </xdr:cNvPr>
          <xdr:cNvSpPr txBox="1"/>
        </xdr:nvSpPr>
        <xdr:spPr>
          <a:xfrm>
            <a:off x="15678152" y="5334000"/>
            <a:ext cx="2457129" cy="942975"/>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902A9B-826C-4E12-8BAB-85C9E1CFA7E6}" type="TxLink">
              <a:rPr lang="en-US" sz="3200" b="0" i="0" u="none" strike="noStrike">
                <a:solidFill>
                  <a:schemeClr val="bg1"/>
                </a:solidFill>
                <a:latin typeface="Abadi" panose="020F0502020204030204" pitchFamily="34" charset="0"/>
              </a:rPr>
              <a:pPr algn="ctr"/>
              <a:t>Par  4</a:t>
            </a:fld>
            <a:endParaRPr lang="en-US" sz="3200">
              <a:solidFill>
                <a:schemeClr val="bg1"/>
              </a:solidFill>
              <a:latin typeface="Abadi" panose="020F0502020204030204" pitchFamily="34" charset="0"/>
            </a:endParaRPr>
          </a:p>
        </xdr:txBody>
      </xdr:sp>
      <xdr:sp macro="" textlink="Data!AP17">
        <xdr:nvSpPr>
          <xdr:cNvPr id="9" name="TextBox 8">
            <a:extLst>
              <a:ext uri="{FF2B5EF4-FFF2-40B4-BE49-F238E27FC236}">
                <a16:creationId xmlns:a16="http://schemas.microsoft.com/office/drawing/2014/main" id="{49338619-56A2-482E-8791-AA2D05D24FDB}"/>
              </a:ext>
            </a:extLst>
          </xdr:cNvPr>
          <xdr:cNvSpPr txBox="1"/>
        </xdr:nvSpPr>
        <xdr:spPr>
          <a:xfrm>
            <a:off x="15678151" y="6248400"/>
            <a:ext cx="2457129" cy="93345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410197-F8DA-4F45-AF09-4B7AC9D82E94}" type="TxLink">
              <a:rPr lang="en-US" sz="3200" b="0" i="0" u="none" strike="noStrike">
                <a:solidFill>
                  <a:schemeClr val="bg1"/>
                </a:solidFill>
                <a:latin typeface="Abadi" panose="020F0502020204030204" pitchFamily="34" charset="0"/>
              </a:rPr>
              <a:pPr algn="ctr"/>
              <a:t>Handicap 9</a:t>
            </a:fld>
            <a:endParaRPr lang="en-US" sz="3200">
              <a:solidFill>
                <a:schemeClr val="bg1"/>
              </a:solidFill>
              <a:latin typeface="Abadi" panose="020F0502020204030204" pitchFamily="34" charset="0"/>
            </a:endParaRPr>
          </a:p>
        </xdr:txBody>
      </xdr:sp>
    </xdr:grpSp>
    <xdr:clientData/>
  </xdr:twoCellAnchor>
  <xdr:twoCellAnchor>
    <xdr:from>
      <xdr:col>24</xdr:col>
      <xdr:colOff>272143</xdr:colOff>
      <xdr:row>45</xdr:row>
      <xdr:rowOff>115137</xdr:rowOff>
    </xdr:from>
    <xdr:to>
      <xdr:col>31</xdr:col>
      <xdr:colOff>491951</xdr:colOff>
      <xdr:row>50</xdr:row>
      <xdr:rowOff>157005</xdr:rowOff>
    </xdr:to>
    <xdr:sp macro="" textlink="Data!AN39">
      <xdr:nvSpPr>
        <xdr:cNvPr id="16" name="TextBox 15">
          <a:extLst>
            <a:ext uri="{FF2B5EF4-FFF2-40B4-BE49-F238E27FC236}">
              <a16:creationId xmlns:a16="http://schemas.microsoft.com/office/drawing/2014/main" id="{EEB682D1-F2AC-B1F6-691A-CB4A40F30F3A}"/>
            </a:ext>
          </a:extLst>
        </xdr:cNvPr>
        <xdr:cNvSpPr txBox="1"/>
      </xdr:nvSpPr>
      <xdr:spPr>
        <a:xfrm>
          <a:off x="14842253" y="8593434"/>
          <a:ext cx="4469423" cy="98390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AF01A2-405F-4813-AD60-A1E9FFB3E0F5}" type="TxLink">
            <a:rPr lang="en-US" sz="3200" b="0" i="0" u="none" strike="noStrike">
              <a:solidFill>
                <a:schemeClr val="bg1"/>
              </a:solidFill>
              <a:latin typeface="Aptos Narrow"/>
            </a:rPr>
            <a:pPr algn="ctr"/>
            <a:t>Difficulty Rank: 8</a:t>
          </a:fld>
          <a:endParaRPr lang="en-US" sz="3200">
            <a:solidFill>
              <a:schemeClr val="bg1"/>
            </a:solidFill>
          </a:endParaRPr>
        </a:p>
      </xdr:txBody>
    </xdr:sp>
    <xdr:clientData/>
  </xdr:twoCellAnchor>
  <xdr:twoCellAnchor>
    <xdr:from>
      <xdr:col>32</xdr:col>
      <xdr:colOff>98576</xdr:colOff>
      <xdr:row>13</xdr:row>
      <xdr:rowOff>140034</xdr:rowOff>
    </xdr:from>
    <xdr:to>
      <xdr:col>42</xdr:col>
      <xdr:colOff>342772</xdr:colOff>
      <xdr:row>36</xdr:row>
      <xdr:rowOff>183161</xdr:rowOff>
    </xdr:to>
    <xdr:grpSp>
      <xdr:nvGrpSpPr>
        <xdr:cNvPr id="17" name="Group 16">
          <a:extLst>
            <a:ext uri="{FF2B5EF4-FFF2-40B4-BE49-F238E27FC236}">
              <a16:creationId xmlns:a16="http://schemas.microsoft.com/office/drawing/2014/main" id="{98C6459A-F19E-401F-A8F9-A5E42A539EA5}"/>
            </a:ext>
          </a:extLst>
        </xdr:cNvPr>
        <xdr:cNvGrpSpPr/>
      </xdr:nvGrpSpPr>
      <xdr:grpSpPr>
        <a:xfrm>
          <a:off x="19692862" y="2616534"/>
          <a:ext cx="6367410" cy="4424627"/>
          <a:chOff x="4267200" y="1343025"/>
          <a:chExt cx="6315075" cy="4371975"/>
        </a:xfrm>
      </xdr:grpSpPr>
      <mc:AlternateContent xmlns:mc="http://schemas.openxmlformats.org/markup-compatibility/2006" xmlns:a14="http://schemas.microsoft.com/office/drawing/2010/main">
        <mc:Choice Requires="a14">
          <xdr:graphicFrame macro="">
            <xdr:nvGraphicFramePr>
              <xdr:cNvPr id="18" name="Player 3">
                <a:extLst>
                  <a:ext uri="{FF2B5EF4-FFF2-40B4-BE49-F238E27FC236}">
                    <a16:creationId xmlns:a16="http://schemas.microsoft.com/office/drawing/2014/main" id="{3F5623A6-7C79-A0B8-5A3A-EB7E996E93BD}"/>
                  </a:ext>
                </a:extLst>
              </xdr:cNvPr>
              <xdr:cNvGraphicFramePr/>
            </xdr:nvGraphicFramePr>
            <xdr:xfrm>
              <a:off x="4267200" y="3048000"/>
              <a:ext cx="1828800" cy="266700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9494940" y="4437160"/>
                <a:ext cx="1826044" cy="2759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9" name="Chart 18">
            <a:extLst>
              <a:ext uri="{FF2B5EF4-FFF2-40B4-BE49-F238E27FC236}">
                <a16:creationId xmlns:a16="http://schemas.microsoft.com/office/drawing/2014/main" id="{7EA40BF3-8A7A-FD14-0817-44C3A2624980}"/>
              </a:ext>
            </a:extLst>
          </xdr:cNvPr>
          <xdr:cNvGraphicFramePr>
            <a:graphicFrameLocks/>
          </xdr:cNvGraphicFramePr>
        </xdr:nvGraphicFramePr>
        <xdr:xfrm>
          <a:off x="6086475" y="3048000"/>
          <a:ext cx="4495800" cy="2667000"/>
        </xdr:xfrm>
        <a:graphic>
          <a:graphicData uri="http://schemas.openxmlformats.org/drawingml/2006/chart">
            <c:chart xmlns:c="http://schemas.openxmlformats.org/drawingml/2006/chart" xmlns:r="http://schemas.openxmlformats.org/officeDocument/2006/relationships" r:id="rId3"/>
          </a:graphicData>
        </a:graphic>
      </xdr:graphicFrame>
      <xdr:sp macro="" textlink="Sheet2!J4">
        <xdr:nvSpPr>
          <xdr:cNvPr id="20" name="TextBox 19">
            <a:extLst>
              <a:ext uri="{FF2B5EF4-FFF2-40B4-BE49-F238E27FC236}">
                <a16:creationId xmlns:a16="http://schemas.microsoft.com/office/drawing/2014/main" id="{E42FECAE-2E24-3833-1849-AED8DE86D021}"/>
              </a:ext>
            </a:extLst>
          </xdr:cNvPr>
          <xdr:cNvSpPr txBox="1"/>
        </xdr:nvSpPr>
        <xdr:spPr>
          <a:xfrm>
            <a:off x="4276725" y="1343025"/>
            <a:ext cx="3648075" cy="1695450"/>
          </a:xfrm>
          <a:prstGeom prst="rect">
            <a:avLst/>
          </a:prstGeom>
          <a:solidFill>
            <a:schemeClr val="bg2">
              <a:lumMod val="5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0587C3-7758-4BF2-9F9D-97C1185BAFC2}" type="TxLink">
              <a:rPr lang="en-US" sz="3200" b="0" i="0" u="none" strike="noStrike">
                <a:solidFill>
                  <a:srgbClr val="000000"/>
                </a:solidFill>
                <a:latin typeface="Amasis MT Pro Black" panose="02040A04050005020304" pitchFamily="18" charset="0"/>
              </a:rPr>
              <a:pPr algn="ctr"/>
              <a:t>Score to Handicap: 3</a:t>
            </a:fld>
            <a:endParaRPr lang="en-US" sz="3200">
              <a:latin typeface="Amasis MT Pro Black" panose="02040A04050005020304" pitchFamily="18" charset="0"/>
            </a:endParaRPr>
          </a:p>
        </xdr:txBody>
      </xdr:sp>
      <xdr:sp macro="" textlink="Sheet2!J5">
        <xdr:nvSpPr>
          <xdr:cNvPr id="21" name="TextBox 20">
            <a:extLst>
              <a:ext uri="{FF2B5EF4-FFF2-40B4-BE49-F238E27FC236}">
                <a16:creationId xmlns:a16="http://schemas.microsoft.com/office/drawing/2014/main" id="{E69A63AE-79FC-A985-295F-754387C5F662}"/>
              </a:ext>
            </a:extLst>
          </xdr:cNvPr>
          <xdr:cNvSpPr txBox="1"/>
        </xdr:nvSpPr>
        <xdr:spPr>
          <a:xfrm>
            <a:off x="7686675" y="1343025"/>
            <a:ext cx="2895600" cy="169545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F73503-7A42-454C-A995-874132467161}" type="TxLink">
              <a:rPr lang="en-US" sz="3200" b="0" i="0" u="none" strike="noStrike">
                <a:solidFill>
                  <a:srgbClr val="000000"/>
                </a:solidFill>
                <a:latin typeface="Amasis MT Pro Black" panose="02040A04050005020304" pitchFamily="18" charset="0"/>
              </a:rPr>
              <a:pPr algn="ctr"/>
              <a:t>Tournament Finishing Rank: 20</a:t>
            </a:fld>
            <a:endParaRPr lang="en-US" sz="3200">
              <a:latin typeface="Amasis MT Pro Black" panose="02040A04050005020304" pitchFamily="18" charset="0"/>
            </a:endParaRPr>
          </a:p>
        </xdr:txBody>
      </xdr:sp>
    </xdr:grpSp>
    <xdr:clientData/>
  </xdr:twoCellAnchor>
  <xdr:twoCellAnchor>
    <xdr:from>
      <xdr:col>24</xdr:col>
      <xdr:colOff>268655</xdr:colOff>
      <xdr:row>25</xdr:row>
      <xdr:rowOff>183174</xdr:rowOff>
    </xdr:from>
    <xdr:to>
      <xdr:col>31</xdr:col>
      <xdr:colOff>476250</xdr:colOff>
      <xdr:row>45</xdr:row>
      <xdr:rowOff>183173</xdr:rowOff>
    </xdr:to>
    <xdr:graphicFrame macro="">
      <xdr:nvGraphicFramePr>
        <xdr:cNvPr id="23" name="Chart 22">
          <a:extLst>
            <a:ext uri="{FF2B5EF4-FFF2-40B4-BE49-F238E27FC236}">
              <a16:creationId xmlns:a16="http://schemas.microsoft.com/office/drawing/2014/main" id="{8B15EB7E-4D8F-4113-B7DF-18D5FED8A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153276</xdr:colOff>
      <xdr:row>38</xdr:row>
      <xdr:rowOff>98535</xdr:rowOff>
    </xdr:from>
    <xdr:to>
      <xdr:col>42</xdr:col>
      <xdr:colOff>306551</xdr:colOff>
      <xdr:row>50</xdr:row>
      <xdr:rowOff>54743</xdr:rowOff>
    </xdr:to>
    <xdr:grpSp>
      <xdr:nvGrpSpPr>
        <xdr:cNvPr id="15" name="Group 14">
          <a:extLst>
            <a:ext uri="{FF2B5EF4-FFF2-40B4-BE49-F238E27FC236}">
              <a16:creationId xmlns:a16="http://schemas.microsoft.com/office/drawing/2014/main" id="{5CA2702F-F5E2-1B18-49DA-94BE624E16BD}"/>
            </a:ext>
          </a:extLst>
        </xdr:cNvPr>
        <xdr:cNvGrpSpPr/>
      </xdr:nvGrpSpPr>
      <xdr:grpSpPr>
        <a:xfrm>
          <a:off x="19747562" y="7337535"/>
          <a:ext cx="6276489" cy="2242208"/>
          <a:chOff x="19849224" y="7302500"/>
          <a:chExt cx="6284310" cy="2189656"/>
        </a:xfrm>
      </xdr:grpSpPr>
      <xdr:sp macro="" textlink="">
        <xdr:nvSpPr>
          <xdr:cNvPr id="12" name="Rectangle: Rounded Corners 11">
            <a:extLst>
              <a:ext uri="{FF2B5EF4-FFF2-40B4-BE49-F238E27FC236}">
                <a16:creationId xmlns:a16="http://schemas.microsoft.com/office/drawing/2014/main" id="{351AA887-BCDE-FBFA-0B7E-B549E764BC43}"/>
              </a:ext>
            </a:extLst>
          </xdr:cNvPr>
          <xdr:cNvSpPr/>
        </xdr:nvSpPr>
        <xdr:spPr>
          <a:xfrm>
            <a:off x="19849224" y="7302500"/>
            <a:ext cx="6284310" cy="218965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940C674F-3EF0-F234-C4A5-6DBB510250A5}"/>
              </a:ext>
            </a:extLst>
          </xdr:cNvPr>
          <xdr:cNvSpPr txBox="1"/>
        </xdr:nvSpPr>
        <xdr:spPr>
          <a:xfrm>
            <a:off x="20188621" y="7455776"/>
            <a:ext cx="5605517" cy="54741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latin typeface="Amasis MT Pro Black" panose="02040A04050005020304" pitchFamily="18" charset="0"/>
              </a:rPr>
              <a:t>FUN FACTS</a:t>
            </a:r>
          </a:p>
        </xdr:txBody>
      </xdr:sp>
      <xdr:sp macro="" textlink="">
        <xdr:nvSpPr>
          <xdr:cNvPr id="14" name="TextBox 13">
            <a:extLst>
              <a:ext uri="{FF2B5EF4-FFF2-40B4-BE49-F238E27FC236}">
                <a16:creationId xmlns:a16="http://schemas.microsoft.com/office/drawing/2014/main" id="{15790254-2A1B-7B6A-F91E-62CA89A3CDAF}"/>
              </a:ext>
            </a:extLst>
          </xdr:cNvPr>
          <xdr:cNvSpPr txBox="1"/>
        </xdr:nvSpPr>
        <xdr:spPr>
          <a:xfrm>
            <a:off x="20429483" y="7926551"/>
            <a:ext cx="5058103" cy="155465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Only</a:t>
            </a:r>
            <a:r>
              <a:rPr lang="en-US" sz="1800" baseline="0">
                <a:solidFill>
                  <a:schemeClr val="bg1"/>
                </a:solidFill>
              </a:rPr>
              <a:t> Three Total Eagles, all on Hole 6</a:t>
            </a:r>
          </a:p>
          <a:p>
            <a:pPr algn="ctr"/>
            <a:r>
              <a:rPr lang="en-US" sz="1800" baseline="0">
                <a:solidFill>
                  <a:schemeClr val="bg1"/>
                </a:solidFill>
              </a:rPr>
              <a:t>Day 1 Average: 91.06</a:t>
            </a:r>
          </a:p>
          <a:p>
            <a:pPr algn="ctr"/>
            <a:r>
              <a:rPr lang="en-US" sz="1800" baseline="0">
                <a:solidFill>
                  <a:schemeClr val="bg1"/>
                </a:solidFill>
              </a:rPr>
              <a:t>Day 2 Average: 91.75</a:t>
            </a:r>
          </a:p>
          <a:p>
            <a:pPr algn="ctr"/>
            <a:endParaRPr lang="en-US" sz="1100">
              <a:solidFill>
                <a:schemeClr val="bg1"/>
              </a:solidFill>
            </a:endParaRPr>
          </a:p>
        </xdr:txBody>
      </xdr:sp>
    </xdr:grpSp>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15164467592" backgroundQuery="1" createdVersion="8" refreshedVersion="8" minRefreshableVersion="3" recordCount="0" supportSubquery="1" supportAdvancedDrill="1" xr:uid="{BAC2D78D-5DFC-4C61-A534-FF3F8BEEB623}">
  <cacheSource type="external" connectionId="2"/>
  <cacheFields count="3">
    <cacheField name="[Table16_1].[Player].[Player]" caption="Player" numFmtId="0" hierarchy="22" level="1">
      <sharedItems count="32">
        <s v="Andy"/>
        <s v="Ben B"/>
        <s v="Ben T"/>
        <s v="Billy"/>
        <s v="Brandon"/>
        <s v="Brett"/>
        <s v="Bruce"/>
        <s v="Chad"/>
        <s v="Charlie"/>
        <s v="Chris"/>
        <s v="Clay"/>
        <s v="Darin"/>
        <s v="Donny"/>
        <s v="Dustin"/>
        <s v="Dylan"/>
        <s v="Ethan"/>
        <s v="Gene"/>
        <s v="Grant"/>
        <s v="Guz"/>
        <s v="Jeff B"/>
        <s v="Jesse"/>
        <s v="Joe"/>
        <s v="Kenny"/>
        <s v="Mike"/>
        <s v="Nahhe"/>
        <s v="Pete"/>
        <s v="Ray"/>
        <s v="Runt"/>
        <s v="Ryan"/>
        <s v="Seiler"/>
        <s v="Shayne"/>
        <s v="Tom"/>
      </sharedItems>
    </cacheField>
    <cacheField name="[Table16_1].[Attribute].[Attribute]" caption="Attribute" numFmtId="0" hierarchy="45" level="1">
      <sharedItems count="7">
        <s v="Birdies"/>
        <s v="Bogeys"/>
        <s v="Doubles"/>
        <s v="Eagles"/>
        <s v="Pars"/>
        <s v="Quads+"/>
        <s v="Triples"/>
      </sharedItems>
    </cacheField>
    <cacheField name="[Measures].[Sum of Value]" caption="Sum of Value" numFmtId="0" hierarchy="56" level="32767"/>
  </cacheFields>
  <cacheHierarchies count="58">
    <cacheHierarchy uniqueName="[Table1].[Player]" caption="Player" attribute="1" defaultMemberUniqueName="[Table1].[Player].[All]" allUniqueName="[Table1].[Player].[All]" dimensionUniqueName="[Table1]" displayFolder="" count="0" memberValueDatatype="130" unbalanced="0"/>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2" memberValueDatatype="130" unbalanced="0">
      <fieldsUsage count="2">
        <fieldUsage x="-1"/>
        <fieldUsage x="0"/>
      </fieldsUsage>
    </cacheHierarchy>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2" memberValueDatatype="130" unbalanced="0">
      <fieldsUsage count="2">
        <fieldUsage x="-1"/>
        <fieldUsage x="1"/>
      </fieldsUsage>
    </cacheHierarchy>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0" memberValueDatatype="130" unbalanced="0"/>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hidden="1">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hidden="1">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16_1" uniqueName="[Table16_1]" caption="Table16_1"/>
    <dimension name="Table7" uniqueName="[Table7]" caption="Table7"/>
  </dimensions>
  <measureGroups count="3">
    <measureGroup name="Table1" caption="Table1"/>
    <measureGroup name="Table16_1" caption="Table16_1"/>
    <measureGroup name="Table7" caption="Table7"/>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15169675926" backgroundQuery="1" createdVersion="8" refreshedVersion="8" minRefreshableVersion="3" recordCount="0" supportSubquery="1" supportAdvancedDrill="1" xr:uid="{CDD315B3-7D3D-4761-BDC8-39D30C0CF696}">
  <cacheSource type="external" connectionId="2"/>
  <cacheFields count="4">
    <cacheField name="[Table7].[Player].[Player]" caption="Player" numFmtId="0" hierarchy="47" level="1">
      <sharedItems count="32">
        <s v="Andy"/>
        <s v="Ben B"/>
        <s v="Ben T"/>
        <s v="Billy"/>
        <s v="Brandon"/>
        <s v="Brett"/>
        <s v="Bruce"/>
        <s v="Chad"/>
        <s v="Charlie"/>
        <s v="Chris"/>
        <s v="Clay"/>
        <s v="Darin"/>
        <s v="Donny"/>
        <s v="Dustin"/>
        <s v="Dylan"/>
        <s v="Ethan"/>
        <s v="Gene"/>
        <s v="Grant"/>
        <s v="Guz"/>
        <s v="Jeff B"/>
        <s v="Jesse"/>
        <s v="Joe"/>
        <s v="Kenny"/>
        <s v="Mike"/>
        <s v="Nahhe"/>
        <s v="Pete"/>
        <s v="Ray"/>
        <s v="Runt"/>
        <s v="Ryan"/>
        <s v="Seiler"/>
        <s v="Shayne"/>
        <s v="Tom"/>
      </sharedItems>
    </cacheField>
    <cacheField name="[Measures].[Sum of Score to Handicap]" caption="Sum of Score to Handicap" numFmtId="0" hierarchy="54" level="32767"/>
    <cacheField name="[Measures].[Sum of Rank]" caption="Sum of Rank" numFmtId="0" hierarchy="55" level="32767"/>
    <cacheField name="[Table1].[Player].[Player]" caption="Player" numFmtId="0" level="1">
      <sharedItems containsSemiMixedTypes="0" containsNonDate="0" containsString="0"/>
    </cacheField>
  </cacheFields>
  <cacheHierarchies count="58">
    <cacheHierarchy uniqueName="[Table1].[Player]" caption="Player" attribute="1" defaultMemberUniqueName="[Table1].[Player].[All]" allUniqueName="[Table1].[Player].[All]" dimensionUniqueName="[Table1]" displayFolder="" count="2" memberValueDatatype="130" unbalanced="0">
      <fieldsUsage count="2">
        <fieldUsage x="-1"/>
        <fieldUsage x="3"/>
      </fieldsUsage>
    </cacheHierarchy>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0" memberValueDatatype="130" unbalanced="0"/>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0" memberValueDatatype="130" unbalanced="0"/>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2" memberValueDatatype="130" unbalanced="0">
      <fieldsUsage count="2">
        <fieldUsage x="-1"/>
        <fieldUsage x="0"/>
      </fieldsUsage>
    </cacheHierarchy>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hidden="1">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16_1" uniqueName="[Table16_1]" caption="Table16_1"/>
    <dimension name="Table7" uniqueName="[Table7]" caption="Table7"/>
  </dimensions>
  <measureGroups count="3">
    <measureGroup name="Table1" caption="Table1"/>
    <measureGroup name="Table16_1" caption="Table16_1"/>
    <measureGroup name="Table7" caption="Table7"/>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Thompson" refreshedDate="45866.615170486111" createdVersion="8" refreshedVersion="8" minRefreshableVersion="3" recordCount="18" xr:uid="{3FD3D157-E869-408A-B873-A3CB29D58E3D}">
  <cacheSource type="worksheet">
    <worksheetSource name="Table3"/>
  </cacheSource>
  <cacheFields count="14">
    <cacheField name="Hole" numFmtId="0">
      <sharedItems containsSemiMixedTypes="0" containsString="0" containsNumber="1" containsInteger="1" minValue="1" maxValue="18" count="18">
        <n v="1"/>
        <n v="2"/>
        <n v="3"/>
        <n v="4"/>
        <n v="5"/>
        <n v="6"/>
        <n v="7"/>
        <n v="8"/>
        <n v="9"/>
        <n v="10"/>
        <n v="11"/>
        <n v="12"/>
        <n v="13"/>
        <n v="14"/>
        <n v="15"/>
        <n v="16"/>
        <n v="17"/>
        <n v="18"/>
      </sharedItems>
    </cacheField>
    <cacheField name="Par" numFmtId="0">
      <sharedItems containsSemiMixedTypes="0" containsString="0" containsNumber="1" containsInteger="1" minValue="3" maxValue="5" count="3">
        <n v="5"/>
        <n v="4"/>
        <n v="3"/>
      </sharedItems>
    </cacheField>
    <cacheField name="Average" numFmtId="0">
      <sharedItems containsSemiMixedTypes="0" containsString="0" containsNumber="1" minValue="3.55" maxValue="6.05"/>
    </cacheField>
    <cacheField name="Average Over Par" numFmtId="0">
      <sharedItems containsSemiMixedTypes="0" containsString="0" containsNumber="1" minValue="0.31666666666666643" maxValue="1.833333333333333"/>
    </cacheField>
    <cacheField name="Max" numFmtId="0">
      <sharedItems containsSemiMixedTypes="0" containsString="0" containsNumber="1" containsInteger="1" minValue="6" maxValue="11"/>
    </cacheField>
    <cacheField name="Eagles" numFmtId="0">
      <sharedItems containsSemiMixedTypes="0" containsString="0" containsNumber="1" containsInteger="1" minValue="0" maxValue="3"/>
    </cacheField>
    <cacheField name="Birdies" numFmtId="0">
      <sharedItems containsSemiMixedTypes="0" containsString="0" containsNumber="1" containsInteger="1" minValue="0" maxValue="14"/>
    </cacheField>
    <cacheField name="Pars" numFmtId="0">
      <sharedItems containsSemiMixedTypes="0" containsString="0" containsNumber="1" containsInteger="1" minValue="5" maxValue="31"/>
    </cacheField>
    <cacheField name="Bogeys" numFmtId="0">
      <sharedItems containsSemiMixedTypes="0" containsString="0" containsNumber="1" containsInteger="1" minValue="11" maxValue="27"/>
    </cacheField>
    <cacheField name="Double Bogeys" numFmtId="0">
      <sharedItems containsSemiMixedTypes="0" containsString="0" containsNumber="1" containsInteger="1" minValue="6" maxValue="22"/>
    </cacheField>
    <cacheField name="Triples" numFmtId="0">
      <sharedItems containsSemiMixedTypes="0" containsString="0" containsNumber="1" containsInteger="1" minValue="1" maxValue="10"/>
    </cacheField>
    <cacheField name="Quadruple +" numFmtId="0">
      <sharedItems containsSemiMixedTypes="0" containsString="0" containsNumber="1" containsInteger="1" minValue="0" maxValue="8"/>
    </cacheField>
    <cacheField name="Handicap" numFmtId="0">
      <sharedItems containsSemiMixedTypes="0" containsString="0" containsNumber="1" containsInteger="1" minValue="1" maxValue="18" count="18">
        <n v="5"/>
        <n v="7"/>
        <n v="13"/>
        <n v="17"/>
        <n v="9"/>
        <n v="3"/>
        <n v="15"/>
        <n v="1"/>
        <n v="11"/>
        <n v="6"/>
        <n v="18"/>
        <n v="10"/>
        <n v="12"/>
        <n v="2"/>
        <n v="14"/>
        <n v="16"/>
        <n v="8"/>
        <n v="4"/>
      </sharedItems>
    </cacheField>
    <cacheField name="Difficulty Rank" numFmtId="0">
      <sharedItems containsSemiMixedTypes="0" containsString="0" containsNumber="1" containsInteger="1" minValue="1" maxValue="18" count="18">
        <n v="10"/>
        <n v="4"/>
        <n v="15"/>
        <n v="12"/>
        <n v="8"/>
        <n v="18"/>
        <n v="3"/>
        <n v="16"/>
        <n v="7"/>
        <n v="1"/>
        <n v="9"/>
        <n v="14"/>
        <n v="11"/>
        <n v="13"/>
        <n v="6"/>
        <n v="17"/>
        <n v="5"/>
        <n v="2"/>
      </sharedItems>
    </cacheField>
  </cacheFields>
  <extLst>
    <ext xmlns:x14="http://schemas.microsoft.com/office/spreadsheetml/2009/9/main" uri="{725AE2AE-9491-48be-B2B4-4EB974FC3084}">
      <x14:pivotCacheDefinition pivotCacheId="158061679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Thompson" refreshedDate="45866.615171527781" createdVersion="8" refreshedVersion="8" minRefreshableVersion="3" recordCount="60" xr:uid="{37B776AF-A0AA-47DA-B6BA-C1A61667502F}">
  <cacheSource type="worksheet">
    <worksheetSource name="Table1"/>
  </cacheSource>
  <cacheFields count="22">
    <cacheField name="Player" numFmtId="0">
      <sharedItems/>
    </cacheField>
    <cacheField name="Handicap" numFmtId="0">
      <sharedItems containsSemiMixedTypes="0" containsString="0" containsNumber="1" containsInteger="1" minValue="6" maxValue="40"/>
    </cacheField>
    <cacheField name="Day" numFmtId="0">
      <sharedItems containsSemiMixedTypes="0" containsString="0" containsNumber="1" containsInteger="1" minValue="1" maxValue="2"/>
    </cacheField>
    <cacheField name="Hole 1" numFmtId="0">
      <sharedItems containsSemiMixedTypes="0" containsString="0" containsNumber="1" containsInteger="1" minValue="4" maxValue="11"/>
    </cacheField>
    <cacheField name="Hole 2" numFmtId="0">
      <sharedItems containsSemiMixedTypes="0" containsString="0" containsNumber="1" containsInteger="1" minValue="3" maxValue="8"/>
    </cacheField>
    <cacheField name="Hole 3" numFmtId="0">
      <sharedItems containsSemiMixedTypes="0" containsString="0" containsNumber="1" containsInteger="1" minValue="3" maxValue="7"/>
    </cacheField>
    <cacheField name="Hole 4" numFmtId="0">
      <sharedItems containsSemiMixedTypes="0" containsString="0" containsNumber="1" containsInteger="1" minValue="2" maxValue="6"/>
    </cacheField>
    <cacheField name="Hole 5" numFmtId="0">
      <sharedItems containsSemiMixedTypes="0" containsString="0" containsNumber="1" containsInteger="1" minValue="3" maxValue="11"/>
    </cacheField>
    <cacheField name="Hole 6" numFmtId="0">
      <sharedItems containsSemiMixedTypes="0" containsString="0" containsNumber="1" containsInteger="1" minValue="3" maxValue="8"/>
    </cacheField>
    <cacheField name="Hole 7" numFmtId="0">
      <sharedItems containsSemiMixedTypes="0" containsString="0" containsNumber="1" containsInteger="1" minValue="3" maxValue="7"/>
    </cacheField>
    <cacheField name="Hole 8" numFmtId="0">
      <sharedItems containsSemiMixedTypes="0" containsString="0" containsNumber="1" containsInteger="1" minValue="3" maxValue="9"/>
    </cacheField>
    <cacheField name="Hole 9" numFmtId="0">
      <sharedItems containsSemiMixedTypes="0" containsString="0" containsNumber="1" containsInteger="1" minValue="3" maxValue="8"/>
    </cacheField>
    <cacheField name="Hole 10" numFmtId="0">
      <sharedItems containsSemiMixedTypes="0" containsString="0" containsNumber="1" containsInteger="1" minValue="4" maxValue="10"/>
    </cacheField>
    <cacheField name="Hole 11" numFmtId="0">
      <sharedItems containsSemiMixedTypes="0" containsString="0" containsNumber="1" containsInteger="1" minValue="3" maxValue="7"/>
    </cacheField>
    <cacheField name="Hole 12" numFmtId="0">
      <sharedItems containsSemiMixedTypes="0" containsString="0" containsNumber="1" containsInteger="1" minValue="3" maxValue="8"/>
    </cacheField>
    <cacheField name="Hole 13" numFmtId="0">
      <sharedItems containsSemiMixedTypes="0" containsString="0" containsNumber="1" containsInteger="1" minValue="3" maxValue="9"/>
    </cacheField>
    <cacheField name="Hole 14" numFmtId="0">
      <sharedItems containsSemiMixedTypes="0" containsString="0" containsNumber="1" containsInteger="1" minValue="4" maxValue="10"/>
    </cacheField>
    <cacheField name="Hole 15" numFmtId="0">
      <sharedItems containsSemiMixedTypes="0" containsString="0" containsNumber="1" containsInteger="1" minValue="3" maxValue="9"/>
    </cacheField>
    <cacheField name="Hole 16" numFmtId="0">
      <sharedItems containsSemiMixedTypes="0" containsString="0" containsNumber="1" containsInteger="1" minValue="2" maxValue="6"/>
    </cacheField>
    <cacheField name="Hole 17" numFmtId="0">
      <sharedItems containsSemiMixedTypes="0" containsString="0" containsNumber="1" containsInteger="1" minValue="3" maxValue="8"/>
    </cacheField>
    <cacheField name="Hole 18" numFmtId="0">
      <sharedItems containsSemiMixedTypes="0" containsString="0" containsNumber="1" containsInteger="1" minValue="4" maxValue="8"/>
    </cacheField>
    <cacheField name="Total" numFmtId="0">
      <sharedItems containsSemiMixedTypes="0" containsString="0" containsNumber="1" containsInteger="1" minValue="75" maxValue="11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Thompson" refreshedDate="45866.61517164352" createdVersion="8" refreshedVersion="8" minRefreshableVersion="3" recordCount="60" xr:uid="{19F09531-2351-495A-AE4F-67085F513364}">
  <cacheSource type="worksheet">
    <worksheetSource name="Table16"/>
  </cacheSource>
  <cacheFields count="30">
    <cacheField name="Player" numFmtId="0">
      <sharedItems count="32">
        <s v="Charlie"/>
        <s v="Nahhe"/>
        <s v="Billy"/>
        <s v="Kenny"/>
        <s v="Guz"/>
        <s v="Gene"/>
        <s v="Ben T"/>
        <s v="Ryan"/>
        <s v="Chris"/>
        <s v="Mike"/>
        <s v="Seiler"/>
        <s v="Dustin"/>
        <s v="Brett"/>
        <s v="Ethan"/>
        <s v="Darin"/>
        <s v="Clay"/>
        <s v="Ben B"/>
        <s v="Jesse"/>
        <s v="Bruce"/>
        <s v="Chad"/>
        <s v="Tom"/>
        <s v="Joe"/>
        <s v="Pete"/>
        <s v="Andy"/>
        <s v="Shayne"/>
        <s v="Donny"/>
        <s v="Brandon"/>
        <s v="Grant"/>
        <s v="Dylan"/>
        <s v="Ray"/>
        <s v="Runt"/>
        <s v="Jeff B"/>
      </sharedItems>
    </cacheField>
    <cacheField name="Handicap" numFmtId="0">
      <sharedItems containsSemiMixedTypes="0" containsString="0" containsNumber="1" containsInteger="1" minValue="6" maxValue="40"/>
    </cacheField>
    <cacheField name="Day" numFmtId="0">
      <sharedItems containsSemiMixedTypes="0" containsString="0" containsNumber="1" containsInteger="1" minValue="1" maxValue="2"/>
    </cacheField>
    <cacheField name="Hole 1" numFmtId="0">
      <sharedItems containsSemiMixedTypes="0" containsString="0" containsNumber="1" containsInteger="1" minValue="4" maxValue="11"/>
    </cacheField>
    <cacheField name="Hole 2" numFmtId="0">
      <sharedItems containsSemiMixedTypes="0" containsString="0" containsNumber="1" containsInteger="1" minValue="3" maxValue="8"/>
    </cacheField>
    <cacheField name="Hole 3" numFmtId="0">
      <sharedItems containsSemiMixedTypes="0" containsString="0" containsNumber="1" containsInteger="1" minValue="3" maxValue="7"/>
    </cacheField>
    <cacheField name="Hole 4" numFmtId="0">
      <sharedItems containsSemiMixedTypes="0" containsString="0" containsNumber="1" containsInteger="1" minValue="2" maxValue="6"/>
    </cacheField>
    <cacheField name="Hole 5" numFmtId="0">
      <sharedItems containsSemiMixedTypes="0" containsString="0" containsNumber="1" containsInteger="1" minValue="3" maxValue="11"/>
    </cacheField>
    <cacheField name="Hole 6" numFmtId="0">
      <sharedItems containsSemiMixedTypes="0" containsString="0" containsNumber="1" containsInteger="1" minValue="3" maxValue="8"/>
    </cacheField>
    <cacheField name="Hole 7" numFmtId="0">
      <sharedItems containsSemiMixedTypes="0" containsString="0" containsNumber="1" containsInteger="1" minValue="3" maxValue="7"/>
    </cacheField>
    <cacheField name="Hole 8" numFmtId="0">
      <sharedItems containsSemiMixedTypes="0" containsString="0" containsNumber="1" containsInteger="1" minValue="3" maxValue="9"/>
    </cacheField>
    <cacheField name="Hole 9" numFmtId="0">
      <sharedItems containsSemiMixedTypes="0" containsString="0" containsNumber="1" containsInteger="1" minValue="3" maxValue="8"/>
    </cacheField>
    <cacheField name="Hole 10" numFmtId="0">
      <sharedItems containsSemiMixedTypes="0" containsString="0" containsNumber="1" containsInteger="1" minValue="4" maxValue="10"/>
    </cacheField>
    <cacheField name="Hole 11" numFmtId="0">
      <sharedItems containsSemiMixedTypes="0" containsString="0" containsNumber="1" containsInteger="1" minValue="3" maxValue="7"/>
    </cacheField>
    <cacheField name="Hole 12" numFmtId="0">
      <sharedItems containsSemiMixedTypes="0" containsString="0" containsNumber="1" containsInteger="1" minValue="3" maxValue="8"/>
    </cacheField>
    <cacheField name="Hole 13" numFmtId="0">
      <sharedItems containsSemiMixedTypes="0" containsString="0" containsNumber="1" containsInteger="1" minValue="3" maxValue="9"/>
    </cacheField>
    <cacheField name="Hole 14" numFmtId="0">
      <sharedItems containsSemiMixedTypes="0" containsString="0" containsNumber="1" containsInteger="1" minValue="4" maxValue="10"/>
    </cacheField>
    <cacheField name="Hole 15" numFmtId="0">
      <sharedItems containsSemiMixedTypes="0" containsString="0" containsNumber="1" containsInteger="1" minValue="3" maxValue="9"/>
    </cacheField>
    <cacheField name="Hole 16" numFmtId="0">
      <sharedItems containsSemiMixedTypes="0" containsString="0" containsNumber="1" containsInteger="1" minValue="2" maxValue="6"/>
    </cacheField>
    <cacheField name="Hole 17" numFmtId="0">
      <sharedItems containsSemiMixedTypes="0" containsString="0" containsNumber="1" containsInteger="1" minValue="3" maxValue="8"/>
    </cacheField>
    <cacheField name="Hole 18" numFmtId="0">
      <sharedItems containsSemiMixedTypes="0" containsString="0" containsNumber="1" containsInteger="1" minValue="4" maxValue="8"/>
    </cacheField>
    <cacheField name="Total" numFmtId="0">
      <sharedItems containsSemiMixedTypes="0" containsString="0" containsNumber="1" containsInteger="1" minValue="75" maxValue="116"/>
    </cacheField>
    <cacheField name="Pars" numFmtId="0">
      <sharedItems containsSemiMixedTypes="0" containsString="0" containsNumber="1" containsInteger="1" minValue="0" maxValue="12"/>
    </cacheField>
    <cacheField name="Birdies" numFmtId="0">
      <sharedItems containsSemiMixedTypes="0" containsString="0" containsNumber="1" containsInteger="1" minValue="0" maxValue="3"/>
    </cacheField>
    <cacheField name="Eagles" numFmtId="0">
      <sharedItems containsSemiMixedTypes="0" containsString="0" containsNumber="1" containsInteger="1" minValue="0" maxValue="1"/>
    </cacheField>
    <cacheField name="Bogeys" numFmtId="0">
      <sharedItems containsSemiMixedTypes="0" containsString="0" containsNumber="1" containsInteger="1" minValue="1" maxValue="13"/>
    </cacheField>
    <cacheField name="Doubles" numFmtId="0">
      <sharedItems containsSemiMixedTypes="0" containsString="0" containsNumber="1" containsInteger="1" minValue="0" maxValue="12"/>
    </cacheField>
    <cacheField name="Triples" numFmtId="0">
      <sharedItems containsSemiMixedTypes="0" containsString="0" containsNumber="1" containsInteger="1" minValue="0" maxValue="5"/>
    </cacheField>
    <cacheField name="Quads+" numFmtId="0">
      <sharedItems containsSemiMixedTypes="0" containsString="0" containsNumber="1" containsInteger="1" minValue="0" maxValue="3"/>
    </cacheField>
    <cacheField name="Score After Handicap" numFmtId="0">
      <sharedItems containsSemiMixedTypes="0" containsString="0" containsNumber="1" containsInteger="1" minValue="-5" maxValue="14"/>
    </cacheField>
  </cacheFields>
  <extLst>
    <ext xmlns:x14="http://schemas.microsoft.com/office/spreadsheetml/2009/9/main" uri="{725AE2AE-9491-48be-B2B4-4EB974FC3084}">
      <x14:pivotCacheDefinition pivotCacheId="150377210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Thompson" refreshedDate="45866.615172106482" createdVersion="8" refreshedVersion="8" minRefreshableVersion="3" recordCount="420" xr:uid="{1BC038DE-0F4C-4716-905D-A9E82079A199}">
  <cacheSource type="worksheet">
    <worksheetSource name="Table16_1"/>
  </cacheSource>
  <cacheFields count="25">
    <cacheField name="Player" numFmtId="0">
      <sharedItems count="32">
        <s v="Grant"/>
        <s v="Jeff B"/>
        <s v="Shayne"/>
        <s v="Bruce"/>
        <s v="Clay"/>
        <s v="Brandon"/>
        <s v="Mike"/>
        <s v="Pete"/>
        <s v="Jesse"/>
        <s v="Charlie"/>
        <s v="Chris"/>
        <s v="Ray"/>
        <s v="Darin"/>
        <s v="Dustin"/>
        <s v="Joe"/>
        <s v="Tom"/>
        <s v="Andy"/>
        <s v="Ethan"/>
        <s v="Ben B"/>
        <s v="Ryan"/>
        <s v="Seiler"/>
        <s v="Brett"/>
        <s v="Guz"/>
        <s v="Donny"/>
        <s v="Billy"/>
        <s v="Dylan"/>
        <s v="Gene"/>
        <s v="Ben T"/>
        <s v="Runt"/>
        <s v="Nahhe"/>
        <s v="Chad"/>
        <s v="Kenny"/>
      </sharedItems>
    </cacheField>
    <cacheField name="Handicap" numFmtId="0">
      <sharedItems containsSemiMixedTypes="0" containsString="0" containsNumber="1" containsInteger="1" minValue="6" maxValue="40"/>
    </cacheField>
    <cacheField name="Day" numFmtId="0">
      <sharedItems containsSemiMixedTypes="0" containsString="0" containsNumber="1" containsInteger="1" minValue="1" maxValue="2"/>
    </cacheField>
    <cacheField name="Hole 1" numFmtId="0">
      <sharedItems containsSemiMixedTypes="0" containsString="0" containsNumber="1" containsInteger="1" minValue="4" maxValue="11"/>
    </cacheField>
    <cacheField name="Hole 2" numFmtId="0">
      <sharedItems containsSemiMixedTypes="0" containsString="0" containsNumber="1" containsInteger="1" minValue="3" maxValue="8"/>
    </cacheField>
    <cacheField name="Hole 3" numFmtId="0">
      <sharedItems containsSemiMixedTypes="0" containsString="0" containsNumber="1" containsInteger="1" minValue="3" maxValue="7"/>
    </cacheField>
    <cacheField name="Hole 4" numFmtId="0">
      <sharedItems containsSemiMixedTypes="0" containsString="0" containsNumber="1" containsInteger="1" minValue="2" maxValue="6"/>
    </cacheField>
    <cacheField name="Hole 5" numFmtId="0">
      <sharedItems containsSemiMixedTypes="0" containsString="0" containsNumber="1" containsInteger="1" minValue="3" maxValue="11"/>
    </cacheField>
    <cacheField name="Hole 6" numFmtId="0">
      <sharedItems containsSemiMixedTypes="0" containsString="0" containsNumber="1" containsInteger="1" minValue="3" maxValue="8"/>
    </cacheField>
    <cacheField name="Hole 7" numFmtId="0">
      <sharedItems containsSemiMixedTypes="0" containsString="0" containsNumber="1" containsInteger="1" minValue="3" maxValue="7"/>
    </cacheField>
    <cacheField name="Hole 8" numFmtId="0">
      <sharedItems containsSemiMixedTypes="0" containsString="0" containsNumber="1" containsInteger="1" minValue="3" maxValue="9"/>
    </cacheField>
    <cacheField name="Hole 9" numFmtId="0">
      <sharedItems containsSemiMixedTypes="0" containsString="0" containsNumber="1" containsInteger="1" minValue="3" maxValue="8"/>
    </cacheField>
    <cacheField name="Hole 10" numFmtId="0">
      <sharedItems containsSemiMixedTypes="0" containsString="0" containsNumber="1" containsInteger="1" minValue="4" maxValue="10"/>
    </cacheField>
    <cacheField name="Hole 11" numFmtId="0">
      <sharedItems containsSemiMixedTypes="0" containsString="0" containsNumber="1" containsInteger="1" minValue="3" maxValue="7"/>
    </cacheField>
    <cacheField name="Hole 12" numFmtId="0">
      <sharedItems containsSemiMixedTypes="0" containsString="0" containsNumber="1" containsInteger="1" minValue="3" maxValue="8"/>
    </cacheField>
    <cacheField name="Hole 13" numFmtId="0">
      <sharedItems containsSemiMixedTypes="0" containsString="0" containsNumber="1" containsInteger="1" minValue="3" maxValue="9"/>
    </cacheField>
    <cacheField name="Hole 14" numFmtId="0">
      <sharedItems containsSemiMixedTypes="0" containsString="0" containsNumber="1" containsInteger="1" minValue="4" maxValue="10"/>
    </cacheField>
    <cacheField name="Hole 15" numFmtId="0">
      <sharedItems containsSemiMixedTypes="0" containsString="0" containsNumber="1" containsInteger="1" minValue="3" maxValue="9"/>
    </cacheField>
    <cacheField name="Hole 16" numFmtId="0">
      <sharedItems containsSemiMixedTypes="0" containsString="0" containsNumber="1" containsInteger="1" minValue="2" maxValue="6"/>
    </cacheField>
    <cacheField name="Hole 17" numFmtId="0">
      <sharedItems containsSemiMixedTypes="0" containsString="0" containsNumber="1" containsInteger="1" minValue="3" maxValue="8"/>
    </cacheField>
    <cacheField name="Hole 18" numFmtId="0">
      <sharedItems containsSemiMixedTypes="0" containsString="0" containsNumber="1" containsInteger="1" minValue="4" maxValue="8"/>
    </cacheField>
    <cacheField name="Total" numFmtId="0">
      <sharedItems containsSemiMixedTypes="0" containsString="0" containsNumber="1" containsInteger="1" minValue="75" maxValue="116"/>
    </cacheField>
    <cacheField name="Score After Handicap" numFmtId="0">
      <sharedItems containsSemiMixedTypes="0" containsString="0" containsNumber="1" containsInteger="1" minValue="-5" maxValue="14"/>
    </cacheField>
    <cacheField name="Attribute" numFmtId="0">
      <sharedItems count="7">
        <s v="Pars"/>
        <s v="Birdies"/>
        <s v="Eagles"/>
        <s v="Bogeys"/>
        <s v="Doubles"/>
        <s v="Triples"/>
        <s v="Quads+"/>
      </sharedItems>
    </cacheField>
    <cacheField name="Value" numFmtId="0">
      <sharedItems containsSemiMixedTypes="0" containsString="0" containsNumber="1" containsInteger="1" minValue="0" maxValue="13"/>
    </cacheField>
  </cacheFields>
  <extLst>
    <ext xmlns:x14="http://schemas.microsoft.com/office/spreadsheetml/2009/9/main" uri="{725AE2AE-9491-48be-B2B4-4EB974FC3084}">
      <x14:pivotCacheDefinition pivotCacheId="21595056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Thompson" refreshedDate="45866.615172453705" createdVersion="8" refreshedVersion="8" minRefreshableVersion="3" recordCount="32" xr:uid="{6709F8C5-9B9F-49D0-97DA-68D7A30D804E}">
  <cacheSource type="worksheet">
    <worksheetSource name="Table7"/>
  </cacheSource>
  <cacheFields count="3">
    <cacheField name="Player" numFmtId="0">
      <sharedItems count="32">
        <s v="Andy"/>
        <s v="Ben B"/>
        <s v="Ben T"/>
        <s v="Billy"/>
        <s v="Brandon"/>
        <s v="Brett"/>
        <s v="Bruce"/>
        <s v="Chad"/>
        <s v="Charlie"/>
        <s v="Chris"/>
        <s v="Clay"/>
        <s v="Darin"/>
        <s v="Donny"/>
        <s v="Dustin"/>
        <s v="Dylan"/>
        <s v="Ethan"/>
        <s v="Gene"/>
        <s v="Grant"/>
        <s v="Guz"/>
        <s v="Jeff B"/>
        <s v="Jesse"/>
        <s v="Joe"/>
        <s v="Kenny"/>
        <s v="Mike"/>
        <s v="Nahhe"/>
        <s v="Pete"/>
        <s v="Ray"/>
        <s v="Runt"/>
        <s v="Ryan"/>
        <s v="Seiler"/>
        <s v="Shayne"/>
        <s v="Tom"/>
      </sharedItems>
    </cacheField>
    <cacheField name="Score to Handicap" numFmtId="0">
      <sharedItems containsSemiMixedTypes="0" containsString="0" containsNumber="1" containsInteger="1" minValue="-7" maxValue="16"/>
    </cacheField>
    <cacheField name="Rank" numFmtId="0">
      <sharedItems containsSemiMixedTypes="0" containsString="0" containsNumber="1" containsInteger="1" minValue="1" maxValue="3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28178587962" backgroundQuery="1" createdVersion="8" refreshedVersion="8" minRefreshableVersion="3" recordCount="0" supportSubquery="1" supportAdvancedDrill="1" xr:uid="{74435BA3-0753-486F-B86A-AF56A4DA23B2}">
  <cacheSource type="external" connectionId="2"/>
  <cacheFields count="4">
    <cacheField name="[Table16_1].[Player].[Player]" caption="Player" numFmtId="0" hierarchy="22" level="1">
      <sharedItems count="32">
        <s v="Clay"/>
        <s v="Chris" u="1"/>
        <s v="Charlie" u="1"/>
        <s v="Chad" u="1"/>
        <s v="Andy" u="1"/>
        <s v="Ben B" u="1"/>
        <s v="Ben T" u="1"/>
        <s v="Billy" u="1"/>
        <s v="Brandon" u="1"/>
        <s v="Brett" u="1"/>
        <s v="Bruce" u="1"/>
        <s v="Darin" u="1"/>
        <s v="Donny" u="1"/>
        <s v="Dustin" u="1"/>
        <s v="Dylan" u="1"/>
        <s v="Ethan" u="1"/>
        <s v="Gene" u="1"/>
        <s v="Grant" u="1"/>
        <s v="Guz" u="1"/>
        <s v="Jeff B" u="1"/>
        <s v="Jesse" u="1"/>
        <s v="Joe" u="1"/>
        <s v="Kenny" u="1"/>
        <s v="Mike" u="1"/>
        <s v="Nahhe" u="1"/>
        <s v="Pete" u="1"/>
        <s v="Ray" u="1"/>
        <s v="Runt" u="1"/>
        <s v="Ryan" u="1"/>
        <s v="Seiler" u="1"/>
        <s v="Shayne" u="1"/>
        <s v="Tom" u="1"/>
      </sharedItems>
    </cacheField>
    <cacheField name="[Table16_1].[Attribute].[Attribute]" caption="Attribute" numFmtId="0" hierarchy="45" level="1">
      <sharedItems count="7">
        <s v="Birdies"/>
        <s v="Bogeys"/>
        <s v="Doubles"/>
        <s v="Eagles"/>
        <s v="Pars"/>
        <s v="Quads+"/>
        <s v="Triples"/>
      </sharedItems>
    </cacheField>
    <cacheField name="[Measures].[Sum of Value]" caption="Sum of Value" numFmtId="0" hierarchy="56" level="32767"/>
    <cacheField name="[Table7].[Player].[Player]" caption="Player" numFmtId="0" hierarchy="47" level="1">
      <sharedItems containsSemiMixedTypes="0" containsNonDate="0" containsString="0"/>
    </cacheField>
  </cacheFields>
  <cacheHierarchies count="58">
    <cacheHierarchy uniqueName="[Table1].[Player]" caption="Player" attribute="1" defaultMemberUniqueName="[Table1].[Player].[All]" allUniqueName="[Table1].[Player].[All]" dimensionUniqueName="[Table1]" displayFolder="" count="0" memberValueDatatype="130" unbalanced="0"/>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2" memberValueDatatype="130" unbalanced="0">
      <fieldsUsage count="2">
        <fieldUsage x="-1"/>
        <fieldUsage x="0"/>
      </fieldsUsage>
    </cacheHierarchy>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2" memberValueDatatype="130" unbalanced="0">
      <fieldsUsage count="2">
        <fieldUsage x="-1"/>
        <fieldUsage x="1"/>
      </fieldsUsage>
    </cacheHierarchy>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2" memberValueDatatype="130" unbalanced="0">
      <fieldsUsage count="2">
        <fieldUsage x="-1"/>
        <fieldUsage x="3"/>
      </fieldsUsage>
    </cacheHierarchy>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hidden="1">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hidden="1">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16_1" uniqueName="[Table16_1]" caption="Table16_1"/>
    <dimension name="Table7" uniqueName="[Table7]" caption="Table7"/>
  </dimensions>
  <measureGroups count="3">
    <measureGroup name="Table1" caption="Table1"/>
    <measureGroup name="Table16_1" caption="Table16_1"/>
    <measureGroup name="Table7" caption="Table7"/>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28178935185" backgroundQuery="1" createdVersion="8" refreshedVersion="8" minRefreshableVersion="3" recordCount="0" supportSubquery="1" supportAdvancedDrill="1" xr:uid="{9ADE70EF-8EDF-46DD-BE1C-ED2BBC32E71C}">
  <cacheSource type="external" connectionId="2"/>
  <cacheFields count="3">
    <cacheField name="[Table7].[Player].[Player]" caption="Player" numFmtId="0" hierarchy="47" level="1">
      <sharedItems count="1">
        <s v="Clay"/>
      </sharedItems>
    </cacheField>
    <cacheField name="[Measures].[Sum of Rank]" caption="Sum of Rank" numFmtId="0" hierarchy="55" level="32767"/>
    <cacheField name="[Measures].[Sum of Score to Handicap]" caption="Sum of Score to Handicap" numFmtId="0" hierarchy="54" level="32767"/>
  </cacheFields>
  <cacheHierarchies count="58">
    <cacheHierarchy uniqueName="[Table1].[Player]" caption="Player" attribute="1" defaultMemberUniqueName="[Table1].[Player].[All]" allUniqueName="[Table1].[Player].[All]" dimensionUniqueName="[Table1]" displayFolder="" count="0" memberValueDatatype="130" unbalanced="0"/>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0" memberValueDatatype="130" unbalanced="0"/>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0" memberValueDatatype="130" unbalanced="0"/>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2" memberValueDatatype="130" unbalanced="0">
      <fieldsUsage count="2">
        <fieldUsage x="-1"/>
        <fieldUsage x="0"/>
      </fieldsUsage>
    </cacheHierarchy>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oneField="1" hidden="1">
      <fieldsUsage count="1">
        <fieldUsage x="2"/>
      </fieldsUsage>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hidden="1">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16_1" uniqueName="[Table16_1]" caption="Table16_1"/>
    <dimension name="Table7" uniqueName="[Table7]" caption="Table7"/>
  </dimensions>
  <measureGroups count="3">
    <measureGroup name="Table1" caption="Table1"/>
    <measureGroup name="Table16_1" caption="Table16_1"/>
    <measureGroup name="Table7" caption="Table7"/>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1515636574" backgroundQuery="1" createdVersion="3" refreshedVersion="8" minRefreshableVersion="3" recordCount="0" supportSubquery="1" supportAdvancedDrill="1" xr:uid="{4D0F6E33-226A-42E4-BC6B-62C07B03075F}">
  <cacheSource type="external" connectionId="2">
    <extLst>
      <ext xmlns:x14="http://schemas.microsoft.com/office/spreadsheetml/2009/9/main" uri="{F057638F-6D5F-4e77-A914-E7F072B9BCA8}">
        <x14:sourceConnection name="ThisWorkbookDataModel"/>
      </ext>
    </extLst>
  </cacheSource>
  <cacheFields count="0"/>
  <cacheHierarchies count="58">
    <cacheHierarchy uniqueName="[Table1].[Player]" caption="Player" attribute="1" defaultMemberUniqueName="[Table1].[Player].[All]" allUniqueName="[Table1].[Player].[All]" dimensionUniqueName="[Table1]" displayFolder="" count="0" memberValueDatatype="130" unbalanced="0"/>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0" memberValueDatatype="130" unbalanced="0"/>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0" memberValueDatatype="130" unbalanced="0"/>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2" memberValueDatatype="130" unbalanced="0"/>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hidden="1">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hidden="1">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hidden="1">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31507557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n Thompson" refreshedDate="45866.615168634256" backgroundQuery="1" createdVersion="3" refreshedVersion="8" minRefreshableVersion="3" recordCount="0" supportSubquery="1" supportAdvancedDrill="1" xr:uid="{DC255D56-AB2F-4146-8D09-2DE937CFC649}">
  <cacheSource type="external" connectionId="2">
    <extLst>
      <ext xmlns:x14="http://schemas.microsoft.com/office/spreadsheetml/2009/9/main" uri="{F057638F-6D5F-4e77-A914-E7F072B9BCA8}">
        <x14:sourceConnection name="ThisWorkbookDataModel"/>
      </ext>
    </extLst>
  </cacheSource>
  <cacheFields count="0"/>
  <cacheHierarchies count="58">
    <cacheHierarchy uniqueName="[Table1].[Player]" caption="Player" attribute="1" defaultMemberUniqueName="[Table1].[Player].[All]" allUniqueName="[Table1].[Player].[All]" dimensionUniqueName="[Table1]" displayFolder="" count="2" memberValueDatatype="130" unbalanced="0"/>
    <cacheHierarchy uniqueName="[Table1].[Handicap]" caption="Handicap" attribute="1" defaultMemberUniqueName="[Table1].[Handicap].[All]" allUniqueName="[Table1].[Handicap].[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Hole 1]" caption="Hole 1" attribute="1" defaultMemberUniqueName="[Table1].[Hole 1].[All]" allUniqueName="[Table1].[Hole 1].[All]" dimensionUniqueName="[Table1]" displayFolder="" count="0" memberValueDatatype="20" unbalanced="0"/>
    <cacheHierarchy uniqueName="[Table1].[Hole 2]" caption="Hole 2" attribute="1" defaultMemberUniqueName="[Table1].[Hole 2].[All]" allUniqueName="[Table1].[Hole 2].[All]" dimensionUniqueName="[Table1]" displayFolder="" count="0" memberValueDatatype="20" unbalanced="0"/>
    <cacheHierarchy uniqueName="[Table1].[Hole 3]" caption="Hole 3" attribute="1" defaultMemberUniqueName="[Table1].[Hole 3].[All]" allUniqueName="[Table1].[Hole 3].[All]" dimensionUniqueName="[Table1]" displayFolder="" count="0" memberValueDatatype="20" unbalanced="0"/>
    <cacheHierarchy uniqueName="[Table1].[Hole 4]" caption="Hole 4" attribute="1" defaultMemberUniqueName="[Table1].[Hole 4].[All]" allUniqueName="[Table1].[Hole 4].[All]" dimensionUniqueName="[Table1]" displayFolder="" count="0" memberValueDatatype="20" unbalanced="0"/>
    <cacheHierarchy uniqueName="[Table1].[Hole 5]" caption="Hole 5" attribute="1" defaultMemberUniqueName="[Table1].[Hole 5].[All]" allUniqueName="[Table1].[Hole 5].[All]" dimensionUniqueName="[Table1]" displayFolder="" count="0" memberValueDatatype="20" unbalanced="0"/>
    <cacheHierarchy uniqueName="[Table1].[Hole 6]" caption="Hole 6" attribute="1" defaultMemberUniqueName="[Table1].[Hole 6].[All]" allUniqueName="[Table1].[Hole 6].[All]" dimensionUniqueName="[Table1]" displayFolder="" count="0" memberValueDatatype="20" unbalanced="0"/>
    <cacheHierarchy uniqueName="[Table1].[Hole 7]" caption="Hole 7" attribute="1" defaultMemberUniqueName="[Table1].[Hole 7].[All]" allUniqueName="[Table1].[Hole 7].[All]" dimensionUniqueName="[Table1]" displayFolder="" count="0" memberValueDatatype="20" unbalanced="0"/>
    <cacheHierarchy uniqueName="[Table1].[Hole 8]" caption="Hole 8" attribute="1" defaultMemberUniqueName="[Table1].[Hole 8].[All]" allUniqueName="[Table1].[Hole 8].[All]" dimensionUniqueName="[Table1]" displayFolder="" count="0" memberValueDatatype="20" unbalanced="0"/>
    <cacheHierarchy uniqueName="[Table1].[Hole 9]" caption="Hole 9" attribute="1" defaultMemberUniqueName="[Table1].[Hole 9].[All]" allUniqueName="[Table1].[Hole 9].[All]" dimensionUniqueName="[Table1]" displayFolder="" count="0" memberValueDatatype="20" unbalanced="0"/>
    <cacheHierarchy uniqueName="[Table1].[Hole 10]" caption="Hole 10" attribute="1" defaultMemberUniqueName="[Table1].[Hole 10].[All]" allUniqueName="[Table1].[Hole 10].[All]" dimensionUniqueName="[Table1]" displayFolder="" count="0" memberValueDatatype="20" unbalanced="0"/>
    <cacheHierarchy uniqueName="[Table1].[Hole 11]" caption="Hole 11" attribute="1" defaultMemberUniqueName="[Table1].[Hole 11].[All]" allUniqueName="[Table1].[Hole 11].[All]" dimensionUniqueName="[Table1]" displayFolder="" count="0" memberValueDatatype="20" unbalanced="0"/>
    <cacheHierarchy uniqueName="[Table1].[Hole 12]" caption="Hole 12" attribute="1" defaultMemberUniqueName="[Table1].[Hole 12].[All]" allUniqueName="[Table1].[Hole 12].[All]" dimensionUniqueName="[Table1]" displayFolder="" count="0" memberValueDatatype="20" unbalanced="0"/>
    <cacheHierarchy uniqueName="[Table1].[Hole 13]" caption="Hole 13" attribute="1" defaultMemberUniqueName="[Table1].[Hole 13].[All]" allUniqueName="[Table1].[Hole 13].[All]" dimensionUniqueName="[Table1]" displayFolder="" count="0" memberValueDatatype="20" unbalanced="0"/>
    <cacheHierarchy uniqueName="[Table1].[Hole 14]" caption="Hole 14" attribute="1" defaultMemberUniqueName="[Table1].[Hole 14].[All]" allUniqueName="[Table1].[Hole 14].[All]" dimensionUniqueName="[Table1]" displayFolder="" count="0" memberValueDatatype="20" unbalanced="0"/>
    <cacheHierarchy uniqueName="[Table1].[Hole 15]" caption="Hole 15" attribute="1" defaultMemberUniqueName="[Table1].[Hole 15].[All]" allUniqueName="[Table1].[Hole 15].[All]" dimensionUniqueName="[Table1]" displayFolder="" count="0" memberValueDatatype="20" unbalanced="0"/>
    <cacheHierarchy uniqueName="[Table1].[Hole 16]" caption="Hole 16" attribute="1" defaultMemberUniqueName="[Table1].[Hole 16].[All]" allUniqueName="[Table1].[Hole 16].[All]" dimensionUniqueName="[Table1]" displayFolder="" count="0" memberValueDatatype="20" unbalanced="0"/>
    <cacheHierarchy uniqueName="[Table1].[Hole 17]" caption="Hole 17" attribute="1" defaultMemberUniqueName="[Table1].[Hole 17].[All]" allUniqueName="[Table1].[Hole 17].[All]" dimensionUniqueName="[Table1]" displayFolder="" count="0" memberValueDatatype="20" unbalanced="0"/>
    <cacheHierarchy uniqueName="[Table1].[Hole 18]" caption="Hole 18" attribute="1" defaultMemberUniqueName="[Table1].[Hole 18].[All]" allUniqueName="[Table1].[Hole 18].[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Table16_1].[Player]" caption="Player" attribute="1" defaultMemberUniqueName="[Table16_1].[Player].[All]" allUniqueName="[Table16_1].[Player].[All]" dimensionUniqueName="[Table16_1]" displayFolder="" count="0" memberValueDatatype="130" unbalanced="0"/>
    <cacheHierarchy uniqueName="[Table16_1].[Handicap]" caption="Handicap" attribute="1" defaultMemberUniqueName="[Table16_1].[Handicap].[All]" allUniqueName="[Table16_1].[Handicap].[All]" dimensionUniqueName="[Table16_1]" displayFolder="" count="0" memberValueDatatype="20" unbalanced="0"/>
    <cacheHierarchy uniqueName="[Table16_1].[Day]" caption="Day" attribute="1" defaultMemberUniqueName="[Table16_1].[Day].[All]" allUniqueName="[Table16_1].[Day].[All]" dimensionUniqueName="[Table16_1]" displayFolder="" count="0" memberValueDatatype="20" unbalanced="0"/>
    <cacheHierarchy uniqueName="[Table16_1].[Hole 1]" caption="Hole 1" attribute="1" defaultMemberUniqueName="[Table16_1].[Hole 1].[All]" allUniqueName="[Table16_1].[Hole 1].[All]" dimensionUniqueName="[Table16_1]" displayFolder="" count="0" memberValueDatatype="20" unbalanced="0"/>
    <cacheHierarchy uniqueName="[Table16_1].[Hole 2]" caption="Hole 2" attribute="1" defaultMemberUniqueName="[Table16_1].[Hole 2].[All]" allUniqueName="[Table16_1].[Hole 2].[All]" dimensionUniqueName="[Table16_1]" displayFolder="" count="0" memberValueDatatype="20" unbalanced="0"/>
    <cacheHierarchy uniqueName="[Table16_1].[Hole 3]" caption="Hole 3" attribute="1" defaultMemberUniqueName="[Table16_1].[Hole 3].[All]" allUniqueName="[Table16_1].[Hole 3].[All]" dimensionUniqueName="[Table16_1]" displayFolder="" count="0" memberValueDatatype="20" unbalanced="0"/>
    <cacheHierarchy uniqueName="[Table16_1].[Hole 4]" caption="Hole 4" attribute="1" defaultMemberUniqueName="[Table16_1].[Hole 4].[All]" allUniqueName="[Table16_1].[Hole 4].[All]" dimensionUniqueName="[Table16_1]" displayFolder="" count="0" memberValueDatatype="20" unbalanced="0"/>
    <cacheHierarchy uniqueName="[Table16_1].[Hole 5]" caption="Hole 5" attribute="1" defaultMemberUniqueName="[Table16_1].[Hole 5].[All]" allUniqueName="[Table16_1].[Hole 5].[All]" dimensionUniqueName="[Table16_1]" displayFolder="" count="0" memberValueDatatype="20" unbalanced="0"/>
    <cacheHierarchy uniqueName="[Table16_1].[Hole 6]" caption="Hole 6" attribute="1" defaultMemberUniqueName="[Table16_1].[Hole 6].[All]" allUniqueName="[Table16_1].[Hole 6].[All]" dimensionUniqueName="[Table16_1]" displayFolder="" count="0" memberValueDatatype="20" unbalanced="0"/>
    <cacheHierarchy uniqueName="[Table16_1].[Hole 7]" caption="Hole 7" attribute="1" defaultMemberUniqueName="[Table16_1].[Hole 7].[All]" allUniqueName="[Table16_1].[Hole 7].[All]" dimensionUniqueName="[Table16_1]" displayFolder="" count="0" memberValueDatatype="20" unbalanced="0"/>
    <cacheHierarchy uniqueName="[Table16_1].[Hole 8]" caption="Hole 8" attribute="1" defaultMemberUniqueName="[Table16_1].[Hole 8].[All]" allUniqueName="[Table16_1].[Hole 8].[All]" dimensionUniqueName="[Table16_1]" displayFolder="" count="0" memberValueDatatype="20" unbalanced="0"/>
    <cacheHierarchy uniqueName="[Table16_1].[Hole 9]" caption="Hole 9" attribute="1" defaultMemberUniqueName="[Table16_1].[Hole 9].[All]" allUniqueName="[Table16_1].[Hole 9].[All]" dimensionUniqueName="[Table16_1]" displayFolder="" count="0" memberValueDatatype="20" unbalanced="0"/>
    <cacheHierarchy uniqueName="[Table16_1].[Hole 10]" caption="Hole 10" attribute="1" defaultMemberUniqueName="[Table16_1].[Hole 10].[All]" allUniqueName="[Table16_1].[Hole 10].[All]" dimensionUniqueName="[Table16_1]" displayFolder="" count="0" memberValueDatatype="20" unbalanced="0"/>
    <cacheHierarchy uniqueName="[Table16_1].[Hole 11]" caption="Hole 11" attribute="1" defaultMemberUniqueName="[Table16_1].[Hole 11].[All]" allUniqueName="[Table16_1].[Hole 11].[All]" dimensionUniqueName="[Table16_1]" displayFolder="" count="0" memberValueDatatype="20" unbalanced="0"/>
    <cacheHierarchy uniqueName="[Table16_1].[Hole 12]" caption="Hole 12" attribute="1" defaultMemberUniqueName="[Table16_1].[Hole 12].[All]" allUniqueName="[Table16_1].[Hole 12].[All]" dimensionUniqueName="[Table16_1]" displayFolder="" count="0" memberValueDatatype="20" unbalanced="0"/>
    <cacheHierarchy uniqueName="[Table16_1].[Hole 13]" caption="Hole 13" attribute="1" defaultMemberUniqueName="[Table16_1].[Hole 13].[All]" allUniqueName="[Table16_1].[Hole 13].[All]" dimensionUniqueName="[Table16_1]" displayFolder="" count="0" memberValueDatatype="20" unbalanced="0"/>
    <cacheHierarchy uniqueName="[Table16_1].[Hole 14]" caption="Hole 14" attribute="1" defaultMemberUniqueName="[Table16_1].[Hole 14].[All]" allUniqueName="[Table16_1].[Hole 14].[All]" dimensionUniqueName="[Table16_1]" displayFolder="" count="0" memberValueDatatype="20" unbalanced="0"/>
    <cacheHierarchy uniqueName="[Table16_1].[Hole 15]" caption="Hole 15" attribute="1" defaultMemberUniqueName="[Table16_1].[Hole 15].[All]" allUniqueName="[Table16_1].[Hole 15].[All]" dimensionUniqueName="[Table16_1]" displayFolder="" count="0" memberValueDatatype="20" unbalanced="0"/>
    <cacheHierarchy uniqueName="[Table16_1].[Hole 16]" caption="Hole 16" attribute="1" defaultMemberUniqueName="[Table16_1].[Hole 16].[All]" allUniqueName="[Table16_1].[Hole 16].[All]" dimensionUniqueName="[Table16_1]" displayFolder="" count="0" memberValueDatatype="20" unbalanced="0"/>
    <cacheHierarchy uniqueName="[Table16_1].[Hole 17]" caption="Hole 17" attribute="1" defaultMemberUniqueName="[Table16_1].[Hole 17].[All]" allUniqueName="[Table16_1].[Hole 17].[All]" dimensionUniqueName="[Table16_1]" displayFolder="" count="0" memberValueDatatype="20" unbalanced="0"/>
    <cacheHierarchy uniqueName="[Table16_1].[Hole 18]" caption="Hole 18" attribute="1" defaultMemberUniqueName="[Table16_1].[Hole 18].[All]" allUniqueName="[Table16_1].[Hole 18].[All]" dimensionUniqueName="[Table16_1]" displayFolder="" count="0" memberValueDatatype="20" unbalanced="0"/>
    <cacheHierarchy uniqueName="[Table16_1].[Total]" caption="Total" attribute="1" defaultMemberUniqueName="[Table16_1].[Total].[All]" allUniqueName="[Table16_1].[Total].[All]" dimensionUniqueName="[Table16_1]" displayFolder="" count="0" memberValueDatatype="20" unbalanced="0"/>
    <cacheHierarchy uniqueName="[Table16_1].[Score After Handicap]" caption="Score After Handicap" attribute="1" defaultMemberUniqueName="[Table16_1].[Score After Handicap].[All]" allUniqueName="[Table16_1].[Score After Handicap].[All]" dimensionUniqueName="[Table16_1]" displayFolder="" count="0" memberValueDatatype="20" unbalanced="0"/>
    <cacheHierarchy uniqueName="[Table16_1].[Attribute]" caption="Attribute" attribute="1" defaultMemberUniqueName="[Table16_1].[Attribute].[All]" allUniqueName="[Table16_1].[Attribute].[All]" dimensionUniqueName="[Table16_1]" displayFolder="" count="0" memberValueDatatype="130" unbalanced="0"/>
    <cacheHierarchy uniqueName="[Table16_1].[Value]" caption="Value" attribute="1" defaultMemberUniqueName="[Table16_1].[Value].[All]" allUniqueName="[Table16_1].[Value].[All]" dimensionUniqueName="[Table16_1]" displayFolder="" count="0" memberValueDatatype="20" unbalanced="0"/>
    <cacheHierarchy uniqueName="[Table7].[Player]" caption="Player" attribute="1" defaultMemberUniqueName="[Table7].[Player].[All]" allUniqueName="[Table7].[Player].[All]" dimensionUniqueName="[Table7]" displayFolder="" count="0" memberValueDatatype="130" unbalanced="0"/>
    <cacheHierarchy uniqueName="[Table7].[Score to Handicap]" caption="Score to Handicap" attribute="1" defaultMemberUniqueName="[Table7].[Score to Handicap].[All]" allUniqueName="[Table7].[Score to Handicap].[All]" dimensionUniqueName="[Table7]" displayFolder="" count="0" memberValueDatatype="20" unbalanced="0"/>
    <cacheHierarchy uniqueName="[Table7].[Rank]" caption="Rank" attribute="1" defaultMemberUniqueName="[Table7].[Rank].[All]" allUniqueName="[Table7].[Rank].[All]" dimensionUniqueName="[Table7]" displayFolder="" count="0" memberValueDatatype="20" unbalanced="0"/>
    <cacheHierarchy uniqueName="[Measures].[__XL_Count Table7]" caption="__XL_Count Table7" measure="1" displayFolder="" measureGroup="Table7" count="0" hidden="1"/>
    <cacheHierarchy uniqueName="[Measures].[__XL_Count Table16_1]" caption="__XL_Count Table16_1" measure="1" displayFolder="" measureGroup="Table16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core to Handicap]" caption="Sum of Score to Handicap" measure="1" displayFolder="" measureGroup="Table7" count="0" hidden="1">
      <extLst>
        <ext xmlns:x15="http://schemas.microsoft.com/office/spreadsheetml/2010/11/main" uri="{B97F6D7D-B522-45F9-BDA1-12C45D357490}">
          <x15:cacheHierarchy aggregatedColumn="48"/>
        </ext>
      </extLst>
    </cacheHierarchy>
    <cacheHierarchy uniqueName="[Measures].[Sum of Rank]" caption="Sum of Rank" measure="1" displayFolder="" measureGroup="Table7" count="0" hidden="1">
      <extLst>
        <ext xmlns:x15="http://schemas.microsoft.com/office/spreadsheetml/2010/11/main" uri="{B97F6D7D-B522-45F9-BDA1-12C45D357490}">
          <x15:cacheHierarchy aggregatedColumn="49"/>
        </ext>
      </extLst>
    </cacheHierarchy>
    <cacheHierarchy uniqueName="[Measures].[Sum of Value]" caption="Sum of Value" measure="1" displayFolder="" measureGroup="Table16_1" count="0" hidden="1">
      <extLst>
        <ext xmlns:x15="http://schemas.microsoft.com/office/spreadsheetml/2010/11/main" uri="{B97F6D7D-B522-45F9-BDA1-12C45D357490}">
          <x15:cacheHierarchy aggregatedColumn="46"/>
        </ext>
      </extLst>
    </cacheHierarchy>
    <cacheHierarchy uniqueName="[Measures].[Count of Attribute]" caption="Count of Attribute" measure="1" displayFolder="" measureGroup="Table16_1"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201547511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6.05"/>
    <n v="1.0499999999999998"/>
    <n v="11"/>
    <n v="0"/>
    <n v="3"/>
    <n v="20"/>
    <n v="22"/>
    <n v="9"/>
    <n v="1"/>
    <n v="5"/>
    <x v="0"/>
    <x v="0"/>
  </r>
  <r>
    <x v="1"/>
    <x v="1"/>
    <n v="5.4333333333333336"/>
    <n v="1.4333333333333336"/>
    <n v="8"/>
    <n v="0"/>
    <n v="1"/>
    <n v="12"/>
    <n v="22"/>
    <n v="14"/>
    <n v="7"/>
    <n v="4"/>
    <x v="1"/>
    <x v="1"/>
  </r>
  <r>
    <x v="2"/>
    <x v="1"/>
    <n v="4.8499999999999996"/>
    <n v="0.84999999999999964"/>
    <n v="7"/>
    <n v="0"/>
    <n v="2"/>
    <n v="19"/>
    <n v="27"/>
    <n v="10"/>
    <n v="2"/>
    <n v="0"/>
    <x v="2"/>
    <x v="2"/>
  </r>
  <r>
    <x v="3"/>
    <x v="2"/>
    <n v="4.0333333333333332"/>
    <n v="1.0333333333333332"/>
    <n v="6"/>
    <n v="0"/>
    <n v="1"/>
    <n v="17"/>
    <n v="26"/>
    <n v="11"/>
    <n v="5"/>
    <n v="0"/>
    <x v="3"/>
    <x v="3"/>
  </r>
  <r>
    <x v="4"/>
    <x v="1"/>
    <n v="5.166666666666667"/>
    <n v="1.166666666666667"/>
    <n v="11"/>
    <n v="0"/>
    <n v="3"/>
    <n v="17"/>
    <n v="18"/>
    <n v="16"/>
    <n v="4"/>
    <n v="2"/>
    <x v="4"/>
    <x v="4"/>
  </r>
  <r>
    <x v="5"/>
    <x v="0"/>
    <n v="5.3166666666666664"/>
    <n v="0.31666666666666643"/>
    <n v="8"/>
    <n v="3"/>
    <n v="14"/>
    <n v="19"/>
    <n v="11"/>
    <n v="11"/>
    <n v="2"/>
    <n v="0"/>
    <x v="5"/>
    <x v="5"/>
  </r>
  <r>
    <x v="6"/>
    <x v="2"/>
    <n v="4.4666666666666668"/>
    <n v="1.4666666666666668"/>
    <n v="7"/>
    <n v="0"/>
    <n v="0"/>
    <n v="7"/>
    <n v="26"/>
    <n v="20"/>
    <n v="6"/>
    <n v="1"/>
    <x v="6"/>
    <x v="6"/>
  </r>
  <r>
    <x v="7"/>
    <x v="1"/>
    <n v="4.8499999999999996"/>
    <n v="0.84999999999999964"/>
    <n v="9"/>
    <n v="0"/>
    <n v="5"/>
    <n v="24"/>
    <n v="13"/>
    <n v="14"/>
    <n v="2"/>
    <n v="2"/>
    <x v="7"/>
    <x v="7"/>
  </r>
  <r>
    <x v="8"/>
    <x v="1"/>
    <n v="5.2333333333333334"/>
    <n v="1.2333333333333334"/>
    <n v="8"/>
    <n v="0"/>
    <n v="1"/>
    <n v="14"/>
    <n v="23"/>
    <n v="15"/>
    <n v="6"/>
    <n v="1"/>
    <x v="8"/>
    <x v="8"/>
  </r>
  <r>
    <x v="9"/>
    <x v="1"/>
    <n v="5.833333333333333"/>
    <n v="1.833333333333333"/>
    <n v="10"/>
    <n v="0"/>
    <n v="0"/>
    <n v="12"/>
    <n v="16"/>
    <n v="16"/>
    <n v="8"/>
    <n v="8"/>
    <x v="9"/>
    <x v="9"/>
  </r>
  <r>
    <x v="10"/>
    <x v="2"/>
    <n v="4.083333333333333"/>
    <n v="1.083333333333333"/>
    <n v="7"/>
    <n v="0"/>
    <n v="0"/>
    <n v="20"/>
    <n v="23"/>
    <n v="10"/>
    <n v="6"/>
    <n v="1"/>
    <x v="10"/>
    <x v="10"/>
  </r>
  <r>
    <x v="11"/>
    <x v="1"/>
    <n v="4.9666666666666668"/>
    <n v="0.96666666666666679"/>
    <n v="8"/>
    <n v="0"/>
    <n v="3"/>
    <n v="22"/>
    <n v="17"/>
    <n v="12"/>
    <n v="4"/>
    <n v="2"/>
    <x v="11"/>
    <x v="11"/>
  </r>
  <r>
    <x v="12"/>
    <x v="1"/>
    <n v="5.05"/>
    <n v="1.0499999999999998"/>
    <n v="9"/>
    <n v="0"/>
    <n v="2"/>
    <n v="21"/>
    <n v="21"/>
    <n v="10"/>
    <n v="1"/>
    <n v="5"/>
    <x v="12"/>
    <x v="12"/>
  </r>
  <r>
    <x v="13"/>
    <x v="0"/>
    <n v="6.0166666666666666"/>
    <n v="1.0166666666666666"/>
    <n v="10"/>
    <n v="0"/>
    <n v="6"/>
    <n v="14"/>
    <n v="23"/>
    <n v="12"/>
    <n v="2"/>
    <n v="3"/>
    <x v="13"/>
    <x v="13"/>
  </r>
  <r>
    <x v="14"/>
    <x v="1"/>
    <n v="5.3"/>
    <n v="1.2999999999999998"/>
    <n v="9"/>
    <n v="0"/>
    <n v="2"/>
    <n v="10"/>
    <n v="27"/>
    <n v="14"/>
    <n v="4"/>
    <n v="3"/>
    <x v="14"/>
    <x v="14"/>
  </r>
  <r>
    <x v="15"/>
    <x v="2"/>
    <n v="3.55"/>
    <n v="0.54999999999999982"/>
    <n v="6"/>
    <n v="0"/>
    <n v="3"/>
    <n v="31"/>
    <n v="18"/>
    <n v="6"/>
    <n v="2"/>
    <n v="0"/>
    <x v="15"/>
    <x v="15"/>
  </r>
  <r>
    <x v="16"/>
    <x v="1"/>
    <n v="5.416666666666667"/>
    <n v="1.416666666666667"/>
    <n v="8"/>
    <n v="0"/>
    <n v="2"/>
    <n v="13"/>
    <n v="18"/>
    <n v="15"/>
    <n v="9"/>
    <n v="3"/>
    <x v="16"/>
    <x v="16"/>
  </r>
  <r>
    <x v="17"/>
    <x v="1"/>
    <n v="5.7666666666666666"/>
    <n v="1.7666666666666666"/>
    <n v="8"/>
    <n v="0"/>
    <n v="0"/>
    <n v="5"/>
    <n v="20"/>
    <n v="22"/>
    <n v="10"/>
    <n v="3"/>
    <x v="17"/>
    <x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Chad"/>
    <n v="40"/>
    <n v="1"/>
    <n v="11"/>
    <n v="5"/>
    <n v="5"/>
    <n v="4"/>
    <n v="5"/>
    <n v="7"/>
    <n v="6"/>
    <n v="6"/>
    <n v="6"/>
    <n v="7"/>
    <n v="5"/>
    <n v="7"/>
    <n v="9"/>
    <n v="7"/>
    <n v="6"/>
    <n v="3"/>
    <n v="7"/>
    <n v="6"/>
    <n v="112"/>
  </r>
  <r>
    <s v="Chad"/>
    <n v="40"/>
    <n v="2"/>
    <n v="7"/>
    <n v="7"/>
    <n v="6"/>
    <n v="5"/>
    <n v="6"/>
    <n v="6"/>
    <n v="4"/>
    <n v="4"/>
    <n v="7"/>
    <n v="8"/>
    <n v="3"/>
    <n v="6"/>
    <n v="6"/>
    <n v="7"/>
    <n v="7"/>
    <n v="3"/>
    <n v="7"/>
    <n v="7"/>
    <n v="106"/>
  </r>
  <r>
    <s v="Kenny"/>
    <n v="36"/>
    <n v="1"/>
    <n v="7"/>
    <n v="6"/>
    <n v="6"/>
    <n v="5"/>
    <n v="6"/>
    <n v="7"/>
    <n v="5"/>
    <n v="9"/>
    <n v="6"/>
    <n v="6"/>
    <n v="4"/>
    <n v="6"/>
    <n v="8"/>
    <n v="10"/>
    <n v="6"/>
    <n v="5"/>
    <n v="7"/>
    <n v="7"/>
    <n v="116"/>
  </r>
  <r>
    <s v="Kenny"/>
    <n v="36"/>
    <n v="2"/>
    <n v="6"/>
    <n v="7"/>
    <n v="6"/>
    <n v="4"/>
    <n v="5"/>
    <n v="7"/>
    <n v="5"/>
    <n v="7"/>
    <n v="5"/>
    <n v="7"/>
    <n v="5"/>
    <n v="6"/>
    <n v="8"/>
    <n v="8"/>
    <n v="9"/>
    <n v="5"/>
    <n v="7"/>
    <n v="6"/>
    <n v="113"/>
  </r>
  <r>
    <s v="Nahhe"/>
    <n v="30"/>
    <n v="1"/>
    <n v="9"/>
    <n v="6"/>
    <n v="7"/>
    <n v="6"/>
    <n v="6"/>
    <n v="7"/>
    <n v="6"/>
    <n v="4"/>
    <n v="6"/>
    <n v="6"/>
    <n v="4"/>
    <n v="6"/>
    <n v="8"/>
    <n v="7"/>
    <n v="6"/>
    <n v="3"/>
    <n v="8"/>
    <n v="6"/>
    <n v="111"/>
  </r>
  <r>
    <s v="Nahhe"/>
    <n v="30"/>
    <n v="2"/>
    <n v="6"/>
    <n v="8"/>
    <n v="5"/>
    <n v="3"/>
    <n v="8"/>
    <n v="8"/>
    <n v="4"/>
    <n v="4"/>
    <n v="5"/>
    <n v="7"/>
    <n v="4"/>
    <n v="7"/>
    <n v="7"/>
    <n v="6"/>
    <n v="7"/>
    <n v="3"/>
    <n v="8"/>
    <n v="6"/>
    <n v="106"/>
  </r>
  <r>
    <s v="Runt"/>
    <n v="30"/>
    <n v="2"/>
    <n v="6"/>
    <n v="7"/>
    <n v="6"/>
    <n v="5"/>
    <n v="6"/>
    <n v="5"/>
    <n v="4"/>
    <n v="5"/>
    <n v="6"/>
    <n v="6"/>
    <n v="4"/>
    <n v="5"/>
    <n v="5"/>
    <n v="7"/>
    <n v="5"/>
    <n v="3"/>
    <n v="7"/>
    <n v="6"/>
    <n v="98"/>
  </r>
  <r>
    <s v="Runt"/>
    <n v="30"/>
    <n v="1"/>
    <n v="9"/>
    <n v="6"/>
    <n v="5"/>
    <n v="3"/>
    <n v="5"/>
    <n v="6"/>
    <n v="4"/>
    <n v="6"/>
    <n v="6"/>
    <n v="5"/>
    <n v="4"/>
    <n v="6"/>
    <n v="4"/>
    <n v="5"/>
    <n v="8"/>
    <n v="3"/>
    <n v="6"/>
    <n v="6"/>
    <n v="97"/>
  </r>
  <r>
    <s v="Gene"/>
    <n v="28"/>
    <n v="2"/>
    <n v="8"/>
    <n v="8"/>
    <n v="4"/>
    <n v="3"/>
    <n v="6"/>
    <n v="6"/>
    <n v="3"/>
    <n v="6"/>
    <n v="5"/>
    <n v="6"/>
    <n v="5"/>
    <n v="6"/>
    <n v="8"/>
    <n v="7"/>
    <n v="4"/>
    <n v="5"/>
    <n v="7"/>
    <n v="8"/>
    <n v="105"/>
  </r>
  <r>
    <s v="Gene"/>
    <n v="28"/>
    <n v="1"/>
    <n v="6"/>
    <n v="7"/>
    <n v="6"/>
    <n v="5"/>
    <n v="5"/>
    <n v="5"/>
    <n v="4"/>
    <n v="5"/>
    <n v="6"/>
    <n v="7"/>
    <n v="5"/>
    <n v="5"/>
    <n v="4"/>
    <n v="6"/>
    <n v="5"/>
    <n v="4"/>
    <n v="4"/>
    <n v="6"/>
    <n v="95"/>
  </r>
  <r>
    <s v="Dylan"/>
    <n v="27"/>
    <n v="2"/>
    <n v="7"/>
    <n v="5"/>
    <n v="5"/>
    <n v="5"/>
    <n v="6"/>
    <n v="7"/>
    <n v="5"/>
    <n v="6"/>
    <n v="4"/>
    <n v="5"/>
    <n v="6"/>
    <n v="4"/>
    <n v="5"/>
    <n v="4"/>
    <n v="7"/>
    <n v="3"/>
    <n v="6"/>
    <n v="6"/>
    <n v="96"/>
  </r>
  <r>
    <s v="Dylan"/>
    <n v="27"/>
    <n v="1"/>
    <n v="10"/>
    <n v="5"/>
    <n v="5"/>
    <n v="5"/>
    <n v="5"/>
    <n v="4"/>
    <n v="5"/>
    <n v="3"/>
    <n v="5"/>
    <n v="4"/>
    <n v="4"/>
    <n v="8"/>
    <n v="5"/>
    <n v="7"/>
    <n v="5"/>
    <n v="3"/>
    <n v="5"/>
    <n v="7"/>
    <n v="95"/>
  </r>
  <r>
    <s v="Brett"/>
    <n v="26"/>
    <n v="1"/>
    <n v="6"/>
    <n v="5"/>
    <n v="5"/>
    <n v="6"/>
    <n v="4"/>
    <n v="6"/>
    <n v="5"/>
    <n v="5"/>
    <n v="7"/>
    <n v="6"/>
    <n v="4"/>
    <n v="4"/>
    <n v="5"/>
    <n v="6"/>
    <n v="7"/>
    <n v="6"/>
    <n v="6"/>
    <n v="7"/>
    <n v="100"/>
  </r>
  <r>
    <s v="Brett"/>
    <n v="26"/>
    <n v="2"/>
    <n v="6"/>
    <n v="7"/>
    <n v="5"/>
    <n v="4"/>
    <n v="5"/>
    <n v="4"/>
    <n v="5"/>
    <n v="6"/>
    <n v="6"/>
    <n v="6"/>
    <n v="6"/>
    <n v="3"/>
    <n v="5"/>
    <n v="5"/>
    <n v="5"/>
    <n v="3"/>
    <n v="5"/>
    <n v="6"/>
    <n v="92"/>
  </r>
  <r>
    <s v="Donny"/>
    <n v="25"/>
    <n v="2"/>
    <n v="6"/>
    <n v="5"/>
    <n v="4"/>
    <n v="4"/>
    <n v="7"/>
    <n v="4"/>
    <n v="5"/>
    <n v="6"/>
    <n v="7"/>
    <n v="6"/>
    <n v="6"/>
    <n v="5"/>
    <n v="4"/>
    <n v="6"/>
    <n v="6"/>
    <n v="3"/>
    <n v="4"/>
    <n v="7"/>
    <n v="95"/>
  </r>
  <r>
    <s v="Donny"/>
    <n v="25"/>
    <n v="1"/>
    <n v="6"/>
    <n v="6"/>
    <n v="4"/>
    <n v="4"/>
    <n v="4"/>
    <n v="6"/>
    <n v="4"/>
    <n v="6"/>
    <n v="4"/>
    <n v="8"/>
    <n v="6"/>
    <n v="5"/>
    <n v="4"/>
    <n v="6"/>
    <n v="6"/>
    <n v="3"/>
    <n v="5"/>
    <n v="7"/>
    <n v="94"/>
  </r>
  <r>
    <s v="Ben T"/>
    <n v="23"/>
    <n v="1"/>
    <n v="7"/>
    <n v="5"/>
    <n v="4"/>
    <n v="6"/>
    <n v="11"/>
    <n v="7"/>
    <n v="4"/>
    <n v="4"/>
    <n v="4"/>
    <n v="4"/>
    <n v="6"/>
    <n v="7"/>
    <n v="4"/>
    <n v="6"/>
    <n v="6"/>
    <n v="3"/>
    <n v="6"/>
    <n v="5"/>
    <n v="99"/>
  </r>
  <r>
    <s v="Ben T"/>
    <n v="23"/>
    <n v="2"/>
    <n v="6"/>
    <n v="5"/>
    <n v="5"/>
    <n v="5"/>
    <n v="7"/>
    <n v="4"/>
    <n v="4"/>
    <n v="4"/>
    <n v="8"/>
    <n v="10"/>
    <n v="4"/>
    <n v="4"/>
    <n v="5"/>
    <n v="7"/>
    <n v="5"/>
    <n v="3"/>
    <n v="5"/>
    <n v="6"/>
    <n v="97"/>
  </r>
  <r>
    <s v="Guz"/>
    <n v="22"/>
    <n v="1"/>
    <n v="9"/>
    <n v="6"/>
    <n v="4"/>
    <n v="4"/>
    <n v="4"/>
    <n v="6"/>
    <n v="5"/>
    <n v="7"/>
    <n v="7"/>
    <n v="6"/>
    <n v="4"/>
    <n v="5"/>
    <n v="4"/>
    <n v="8"/>
    <n v="5"/>
    <n v="4"/>
    <n v="6"/>
    <n v="7"/>
    <n v="101"/>
  </r>
  <r>
    <s v="Guz"/>
    <n v="22"/>
    <n v="2"/>
    <n v="6"/>
    <n v="6"/>
    <n v="5"/>
    <n v="2"/>
    <n v="5"/>
    <n v="6"/>
    <n v="5"/>
    <n v="4"/>
    <n v="5"/>
    <n v="10"/>
    <n v="3"/>
    <n v="5"/>
    <n v="5"/>
    <n v="6"/>
    <n v="5"/>
    <n v="4"/>
    <n v="6"/>
    <n v="5"/>
    <n v="93"/>
  </r>
  <r>
    <s v="Seiler"/>
    <n v="20"/>
    <n v="1"/>
    <n v="6"/>
    <n v="6"/>
    <n v="4"/>
    <n v="5"/>
    <n v="5"/>
    <n v="7"/>
    <n v="5"/>
    <n v="6"/>
    <n v="4"/>
    <n v="5"/>
    <n v="4"/>
    <n v="5"/>
    <n v="5"/>
    <n v="6"/>
    <n v="6"/>
    <n v="3"/>
    <n v="7"/>
    <n v="6"/>
    <n v="95"/>
  </r>
  <r>
    <s v="Ben B"/>
    <n v="20"/>
    <n v="2"/>
    <n v="5"/>
    <n v="5"/>
    <n v="5"/>
    <n v="4"/>
    <n v="7"/>
    <n v="7"/>
    <n v="4"/>
    <n v="6"/>
    <n v="7"/>
    <n v="7"/>
    <n v="4"/>
    <n v="4"/>
    <n v="4"/>
    <n v="6"/>
    <n v="5"/>
    <n v="2"/>
    <n v="5"/>
    <n v="6"/>
    <n v="93"/>
  </r>
  <r>
    <s v="Seiler"/>
    <n v="20"/>
    <n v="2"/>
    <n v="5"/>
    <n v="7"/>
    <n v="6"/>
    <n v="5"/>
    <n v="5"/>
    <n v="5"/>
    <n v="3"/>
    <n v="6"/>
    <n v="4"/>
    <n v="6"/>
    <n v="5"/>
    <n v="4"/>
    <n v="4"/>
    <n v="6"/>
    <n v="6"/>
    <n v="4"/>
    <n v="5"/>
    <n v="6"/>
    <n v="92"/>
  </r>
  <r>
    <s v="Ben B"/>
    <n v="20"/>
    <n v="1"/>
    <n v="5"/>
    <n v="7"/>
    <n v="6"/>
    <n v="3"/>
    <n v="4"/>
    <n v="8"/>
    <n v="4"/>
    <n v="3"/>
    <n v="6"/>
    <n v="4"/>
    <n v="3"/>
    <n v="4"/>
    <n v="6"/>
    <n v="6"/>
    <n v="5"/>
    <n v="4"/>
    <n v="6"/>
    <n v="5"/>
    <n v="89"/>
  </r>
  <r>
    <s v="Billy"/>
    <n v="18"/>
    <n v="1"/>
    <n v="6"/>
    <n v="8"/>
    <n v="5"/>
    <n v="5"/>
    <n v="4"/>
    <n v="6"/>
    <n v="5"/>
    <n v="5"/>
    <n v="5"/>
    <n v="6"/>
    <n v="5"/>
    <n v="5"/>
    <n v="5"/>
    <n v="7"/>
    <n v="6"/>
    <n v="3"/>
    <n v="6"/>
    <n v="7"/>
    <n v="99"/>
  </r>
  <r>
    <s v="Billy"/>
    <n v="18"/>
    <n v="2"/>
    <n v="6"/>
    <n v="6"/>
    <n v="5"/>
    <n v="4"/>
    <n v="4"/>
    <n v="4"/>
    <n v="4"/>
    <n v="3"/>
    <n v="4"/>
    <n v="9"/>
    <n v="5"/>
    <n v="6"/>
    <n v="4"/>
    <n v="6"/>
    <n v="6"/>
    <n v="6"/>
    <n v="8"/>
    <n v="5"/>
    <n v="95"/>
  </r>
  <r>
    <s v="Ethan"/>
    <n v="18"/>
    <n v="1"/>
    <n v="5"/>
    <n v="5"/>
    <n v="5"/>
    <n v="6"/>
    <n v="6"/>
    <n v="4"/>
    <n v="6"/>
    <n v="5"/>
    <n v="7"/>
    <n v="4"/>
    <n v="3"/>
    <n v="6"/>
    <n v="4"/>
    <n v="5"/>
    <n v="5"/>
    <n v="5"/>
    <n v="6"/>
    <n v="5"/>
    <n v="92"/>
  </r>
  <r>
    <s v="Tom"/>
    <n v="18"/>
    <n v="2"/>
    <n v="4"/>
    <n v="5"/>
    <n v="5"/>
    <n v="4"/>
    <n v="6"/>
    <n v="5"/>
    <n v="4"/>
    <n v="6"/>
    <n v="5"/>
    <n v="5"/>
    <n v="4"/>
    <n v="5"/>
    <n v="6"/>
    <n v="6"/>
    <n v="6"/>
    <n v="3"/>
    <n v="5"/>
    <n v="6"/>
    <n v="90"/>
  </r>
  <r>
    <s v="Andy"/>
    <n v="18"/>
    <n v="2"/>
    <n v="7"/>
    <n v="5"/>
    <n v="5"/>
    <n v="5"/>
    <n v="6"/>
    <n v="3"/>
    <n v="7"/>
    <n v="6"/>
    <n v="4"/>
    <n v="6"/>
    <n v="3"/>
    <n v="4"/>
    <n v="5"/>
    <n v="5"/>
    <n v="4"/>
    <n v="3"/>
    <n v="5"/>
    <n v="6"/>
    <n v="89"/>
  </r>
  <r>
    <s v="Andy"/>
    <n v="18"/>
    <n v="1"/>
    <n v="5"/>
    <n v="4"/>
    <n v="5"/>
    <n v="4"/>
    <n v="5"/>
    <n v="7"/>
    <n v="4"/>
    <n v="5"/>
    <n v="6"/>
    <n v="4"/>
    <n v="4"/>
    <n v="4"/>
    <n v="4"/>
    <n v="7"/>
    <n v="5"/>
    <n v="4"/>
    <n v="4"/>
    <n v="6"/>
    <n v="87"/>
  </r>
  <r>
    <s v="Ray"/>
    <n v="18"/>
    <n v="2"/>
    <n v="6"/>
    <n v="5"/>
    <n v="4"/>
    <n v="4"/>
    <n v="6"/>
    <n v="5"/>
    <n v="5"/>
    <n v="4"/>
    <n v="5"/>
    <n v="4"/>
    <n v="4"/>
    <n v="5"/>
    <n v="4"/>
    <n v="6"/>
    <n v="5"/>
    <n v="4"/>
    <n v="4"/>
    <n v="7"/>
    <n v="87"/>
  </r>
  <r>
    <s v="Ethan"/>
    <n v="18"/>
    <n v="2"/>
    <n v="6"/>
    <n v="5"/>
    <n v="4"/>
    <n v="3"/>
    <n v="3"/>
    <n v="5"/>
    <n v="5"/>
    <n v="6"/>
    <n v="5"/>
    <n v="6"/>
    <n v="5"/>
    <n v="4"/>
    <n v="5"/>
    <n v="6"/>
    <n v="5"/>
    <n v="4"/>
    <n v="5"/>
    <n v="5"/>
    <n v="87"/>
  </r>
  <r>
    <s v="Tom"/>
    <n v="18"/>
    <n v="1"/>
    <n v="7"/>
    <n v="5"/>
    <n v="5"/>
    <n v="3"/>
    <n v="4"/>
    <n v="5"/>
    <n v="4"/>
    <n v="5"/>
    <n v="5"/>
    <n v="5"/>
    <n v="3"/>
    <n v="5"/>
    <n v="5"/>
    <n v="6"/>
    <n v="6"/>
    <n v="4"/>
    <n v="4"/>
    <n v="5"/>
    <n v="86"/>
  </r>
  <r>
    <s v="Ray"/>
    <n v="18"/>
    <n v="1"/>
    <n v="6"/>
    <n v="6"/>
    <n v="4"/>
    <n v="4"/>
    <n v="3"/>
    <n v="4"/>
    <n v="4"/>
    <n v="5"/>
    <n v="5"/>
    <n v="5"/>
    <n v="3"/>
    <n v="4"/>
    <n v="4"/>
    <n v="6"/>
    <n v="8"/>
    <n v="4"/>
    <n v="4"/>
    <n v="6"/>
    <n v="85"/>
  </r>
  <r>
    <s v="Ryan"/>
    <n v="16"/>
    <n v="1"/>
    <n v="5"/>
    <n v="6"/>
    <n v="7"/>
    <n v="3"/>
    <n v="6"/>
    <n v="5"/>
    <n v="6"/>
    <n v="8"/>
    <n v="4"/>
    <n v="5"/>
    <n v="3"/>
    <n v="4"/>
    <n v="6"/>
    <n v="5"/>
    <n v="5"/>
    <n v="3"/>
    <n v="6"/>
    <n v="5"/>
    <n v="92"/>
  </r>
  <r>
    <s v="Chris"/>
    <n v="16"/>
    <n v="2"/>
    <n v="5"/>
    <n v="4"/>
    <n v="4"/>
    <n v="4"/>
    <n v="7"/>
    <n v="5"/>
    <n v="5"/>
    <n v="4"/>
    <n v="5"/>
    <n v="8"/>
    <n v="7"/>
    <n v="4"/>
    <n v="4"/>
    <n v="7"/>
    <n v="5"/>
    <n v="5"/>
    <n v="5"/>
    <n v="4"/>
    <n v="92"/>
  </r>
  <r>
    <s v="Ryan"/>
    <n v="16"/>
    <n v="2"/>
    <n v="6"/>
    <n v="8"/>
    <n v="5"/>
    <n v="4"/>
    <n v="5"/>
    <n v="6"/>
    <n v="4"/>
    <n v="5"/>
    <n v="5"/>
    <n v="5"/>
    <n v="4"/>
    <n v="4"/>
    <n v="4"/>
    <n v="5"/>
    <n v="6"/>
    <n v="4"/>
    <n v="5"/>
    <n v="5"/>
    <n v="90"/>
  </r>
  <r>
    <s v="Joe"/>
    <n v="16"/>
    <n v="1"/>
    <n v="7"/>
    <n v="5"/>
    <n v="5"/>
    <n v="4"/>
    <n v="5"/>
    <n v="3"/>
    <n v="4"/>
    <n v="4"/>
    <n v="6"/>
    <n v="4"/>
    <n v="4"/>
    <n v="8"/>
    <n v="5"/>
    <n v="6"/>
    <n v="5"/>
    <n v="3"/>
    <n v="6"/>
    <n v="4"/>
    <n v="88"/>
  </r>
  <r>
    <s v="Joe"/>
    <n v="16"/>
    <n v="2"/>
    <n v="5"/>
    <n v="5"/>
    <n v="5"/>
    <n v="3"/>
    <n v="5"/>
    <n v="5"/>
    <n v="5"/>
    <n v="4"/>
    <n v="4"/>
    <n v="7"/>
    <n v="3"/>
    <n v="5"/>
    <n v="5"/>
    <n v="5"/>
    <n v="4"/>
    <n v="3"/>
    <n v="6"/>
    <n v="7"/>
    <n v="86"/>
  </r>
  <r>
    <s v="Chris"/>
    <n v="16"/>
    <n v="1"/>
    <n v="6"/>
    <n v="5"/>
    <n v="4"/>
    <n v="4"/>
    <n v="4"/>
    <n v="5"/>
    <n v="6"/>
    <n v="4"/>
    <n v="6"/>
    <n v="6"/>
    <n v="4"/>
    <n v="3"/>
    <n v="4"/>
    <n v="5"/>
    <n v="4"/>
    <n v="2"/>
    <n v="5"/>
    <n v="8"/>
    <n v="85"/>
  </r>
  <r>
    <s v="Dustin"/>
    <n v="15"/>
    <n v="1"/>
    <n v="5"/>
    <n v="6"/>
    <n v="4"/>
    <n v="4"/>
    <n v="5"/>
    <n v="4"/>
    <n v="4"/>
    <n v="4"/>
    <n v="6"/>
    <n v="5"/>
    <n v="3"/>
    <n v="5"/>
    <n v="4"/>
    <n v="9"/>
    <n v="5"/>
    <n v="4"/>
    <n v="7"/>
    <n v="6"/>
    <n v="90"/>
  </r>
  <r>
    <s v="Jesse"/>
    <n v="15"/>
    <n v="1"/>
    <n v="4"/>
    <n v="4"/>
    <n v="5"/>
    <n v="3"/>
    <n v="6"/>
    <n v="3"/>
    <n v="5"/>
    <n v="5"/>
    <n v="6"/>
    <n v="9"/>
    <n v="3"/>
    <n v="7"/>
    <n v="3"/>
    <n v="5"/>
    <n v="6"/>
    <n v="3"/>
    <n v="5"/>
    <n v="6"/>
    <n v="88"/>
  </r>
  <r>
    <s v="Dustin"/>
    <n v="15"/>
    <n v="2"/>
    <n v="7"/>
    <n v="5"/>
    <n v="3"/>
    <n v="3"/>
    <n v="6"/>
    <n v="5"/>
    <n v="6"/>
    <n v="4"/>
    <n v="4"/>
    <n v="4"/>
    <n v="3"/>
    <n v="4"/>
    <n v="4"/>
    <n v="7"/>
    <n v="5"/>
    <n v="5"/>
    <n v="5"/>
    <n v="6"/>
    <n v="86"/>
  </r>
  <r>
    <s v="Jesse"/>
    <n v="15"/>
    <n v="2"/>
    <n v="5"/>
    <n v="4"/>
    <n v="4"/>
    <n v="6"/>
    <n v="6"/>
    <n v="5"/>
    <n v="3"/>
    <n v="4"/>
    <n v="5"/>
    <n v="7"/>
    <n v="3"/>
    <n v="4"/>
    <n v="5"/>
    <n v="5"/>
    <n v="5"/>
    <n v="3"/>
    <n v="4"/>
    <n v="5"/>
    <n v="83"/>
  </r>
  <r>
    <s v="Mike"/>
    <n v="14"/>
    <n v="2"/>
    <n v="5"/>
    <n v="6"/>
    <n v="4"/>
    <n v="4"/>
    <n v="4"/>
    <n v="6"/>
    <n v="5"/>
    <n v="4"/>
    <n v="5"/>
    <n v="5"/>
    <n v="4"/>
    <n v="5"/>
    <n v="5"/>
    <n v="7"/>
    <n v="5"/>
    <n v="4"/>
    <n v="6"/>
    <n v="6"/>
    <n v="90"/>
  </r>
  <r>
    <s v="Darin"/>
    <n v="14"/>
    <n v="2"/>
    <n v="5"/>
    <n v="5"/>
    <n v="6"/>
    <n v="4"/>
    <n v="4"/>
    <n v="4"/>
    <n v="5"/>
    <n v="5"/>
    <n v="5"/>
    <n v="6"/>
    <n v="4"/>
    <n v="5"/>
    <n v="5"/>
    <n v="6"/>
    <n v="5"/>
    <n v="3"/>
    <n v="6"/>
    <n v="5"/>
    <n v="88"/>
  </r>
  <r>
    <s v="Darin"/>
    <n v="14"/>
    <n v="1"/>
    <n v="5"/>
    <n v="6"/>
    <n v="5"/>
    <n v="4"/>
    <n v="4"/>
    <n v="4"/>
    <n v="4"/>
    <n v="6"/>
    <n v="5"/>
    <n v="5"/>
    <n v="5"/>
    <n v="6"/>
    <n v="6"/>
    <n v="4"/>
    <n v="4"/>
    <n v="4"/>
    <n v="4"/>
    <n v="5"/>
    <n v="86"/>
  </r>
  <r>
    <s v="Pete"/>
    <n v="14"/>
    <n v="1"/>
    <n v="5"/>
    <n v="4"/>
    <n v="3"/>
    <n v="4"/>
    <n v="6"/>
    <n v="5"/>
    <n v="4"/>
    <n v="5"/>
    <n v="5"/>
    <n v="6"/>
    <n v="4"/>
    <n v="6"/>
    <n v="5"/>
    <n v="6"/>
    <n v="4"/>
    <n v="3"/>
    <n v="6"/>
    <n v="5"/>
    <n v="86"/>
  </r>
  <r>
    <s v="Mike"/>
    <n v="14"/>
    <n v="1"/>
    <n v="6"/>
    <n v="4"/>
    <n v="4"/>
    <n v="4"/>
    <n v="5"/>
    <n v="5"/>
    <n v="4"/>
    <n v="4"/>
    <n v="6"/>
    <n v="5"/>
    <n v="4"/>
    <n v="4"/>
    <n v="5"/>
    <n v="5"/>
    <n v="5"/>
    <n v="3"/>
    <n v="4"/>
    <n v="5"/>
    <n v="82"/>
  </r>
  <r>
    <s v="Pete"/>
    <n v="14"/>
    <n v="2"/>
    <n v="6"/>
    <n v="5"/>
    <n v="5"/>
    <n v="3"/>
    <n v="5"/>
    <n v="7"/>
    <n v="5"/>
    <n v="4"/>
    <n v="4"/>
    <n v="4"/>
    <n v="4"/>
    <n v="4"/>
    <n v="6"/>
    <n v="5"/>
    <n v="3"/>
    <n v="3"/>
    <n v="4"/>
    <n v="5"/>
    <n v="82"/>
  </r>
  <r>
    <s v="Charlie"/>
    <n v="12"/>
    <n v="1"/>
    <n v="5"/>
    <n v="4"/>
    <n v="6"/>
    <n v="4"/>
    <n v="6"/>
    <n v="6"/>
    <n v="4"/>
    <n v="4"/>
    <n v="3"/>
    <n v="8"/>
    <n v="5"/>
    <n v="6"/>
    <n v="6"/>
    <n v="10"/>
    <n v="5"/>
    <n v="2"/>
    <n v="5"/>
    <n v="8"/>
    <n v="97"/>
  </r>
  <r>
    <s v="Charlie"/>
    <n v="12"/>
    <n v="2"/>
    <n v="7"/>
    <n v="4"/>
    <n v="4"/>
    <n v="3"/>
    <n v="4"/>
    <n v="4"/>
    <n v="5"/>
    <n v="3"/>
    <n v="5"/>
    <n v="5"/>
    <n v="3"/>
    <n v="5"/>
    <n v="6"/>
    <n v="5"/>
    <n v="5"/>
    <n v="3"/>
    <n v="7"/>
    <n v="6"/>
    <n v="84"/>
  </r>
  <r>
    <s v="Brandon"/>
    <n v="10"/>
    <n v="1"/>
    <n v="4"/>
    <n v="5"/>
    <n v="4"/>
    <n v="3"/>
    <n v="5"/>
    <n v="5"/>
    <n v="3"/>
    <n v="5"/>
    <n v="4"/>
    <n v="5"/>
    <n v="4"/>
    <n v="4"/>
    <n v="6"/>
    <n v="5"/>
    <n v="5"/>
    <n v="3"/>
    <n v="5"/>
    <n v="5"/>
    <n v="80"/>
  </r>
  <r>
    <s v="Jeff B"/>
    <n v="8"/>
    <n v="1"/>
    <n v="5"/>
    <n v="4"/>
    <n v="5"/>
    <n v="4"/>
    <n v="3"/>
    <n v="4"/>
    <n v="3"/>
    <n v="4"/>
    <n v="5"/>
    <n v="4"/>
    <n v="3"/>
    <n v="5"/>
    <n v="3"/>
    <n v="6"/>
    <n v="4"/>
    <n v="4"/>
    <n v="4"/>
    <n v="5"/>
    <n v="75"/>
  </r>
  <r>
    <s v="Grant"/>
    <n v="7"/>
    <n v="1"/>
    <n v="5"/>
    <n v="4"/>
    <n v="4"/>
    <n v="3"/>
    <n v="4"/>
    <n v="7"/>
    <n v="4"/>
    <n v="3"/>
    <n v="4"/>
    <n v="6"/>
    <n v="3"/>
    <n v="4"/>
    <n v="5"/>
    <n v="4"/>
    <n v="4"/>
    <n v="3"/>
    <n v="5"/>
    <n v="5"/>
    <n v="77"/>
  </r>
  <r>
    <s v="Grant"/>
    <n v="7"/>
    <n v="2"/>
    <n v="5"/>
    <n v="6"/>
    <n v="4"/>
    <n v="3"/>
    <n v="4"/>
    <n v="4"/>
    <n v="4"/>
    <n v="4"/>
    <n v="5"/>
    <n v="4"/>
    <n v="3"/>
    <n v="4"/>
    <n v="4"/>
    <n v="6"/>
    <n v="3"/>
    <n v="3"/>
    <n v="4"/>
    <n v="5"/>
    <n v="75"/>
  </r>
  <r>
    <s v="Clay"/>
    <n v="6"/>
    <n v="1"/>
    <n v="6"/>
    <n v="3"/>
    <n v="5"/>
    <n v="3"/>
    <n v="5"/>
    <n v="5"/>
    <n v="3"/>
    <n v="4"/>
    <n v="5"/>
    <n v="5"/>
    <n v="3"/>
    <n v="6"/>
    <n v="6"/>
    <n v="6"/>
    <n v="4"/>
    <n v="3"/>
    <n v="3"/>
    <n v="5"/>
    <n v="80"/>
  </r>
  <r>
    <s v="Bruce"/>
    <n v="6"/>
    <n v="2"/>
    <n v="5"/>
    <n v="5"/>
    <n v="6"/>
    <n v="4"/>
    <n v="4"/>
    <n v="4"/>
    <n v="4"/>
    <n v="4"/>
    <n v="6"/>
    <n v="4"/>
    <n v="3"/>
    <n v="4"/>
    <n v="4"/>
    <n v="4"/>
    <n v="5"/>
    <n v="4"/>
    <n v="5"/>
    <n v="4"/>
    <n v="79"/>
  </r>
  <r>
    <s v="Bruce"/>
    <n v="6"/>
    <n v="1"/>
    <n v="6"/>
    <n v="4"/>
    <n v="5"/>
    <n v="3"/>
    <n v="4"/>
    <n v="5"/>
    <n v="4"/>
    <n v="4"/>
    <n v="4"/>
    <n v="5"/>
    <n v="6"/>
    <n v="3"/>
    <n v="5"/>
    <n v="4"/>
    <n v="5"/>
    <n v="4"/>
    <n v="3"/>
    <n v="4"/>
    <n v="78"/>
  </r>
  <r>
    <s v="Shayne"/>
    <n v="6"/>
    <n v="1"/>
    <n v="5"/>
    <n v="4"/>
    <n v="5"/>
    <n v="4"/>
    <n v="4"/>
    <n v="5"/>
    <n v="3"/>
    <n v="4"/>
    <n v="5"/>
    <n v="7"/>
    <n v="3"/>
    <n v="4"/>
    <n v="4"/>
    <n v="4"/>
    <n v="4"/>
    <n v="4"/>
    <n v="4"/>
    <n v="4"/>
    <n v="7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12"/>
    <n v="1"/>
    <n v="5"/>
    <n v="4"/>
    <n v="6"/>
    <n v="4"/>
    <n v="6"/>
    <n v="6"/>
    <n v="4"/>
    <n v="4"/>
    <n v="3"/>
    <n v="8"/>
    <n v="5"/>
    <n v="6"/>
    <n v="6"/>
    <n v="10"/>
    <n v="5"/>
    <n v="2"/>
    <n v="5"/>
    <n v="8"/>
    <n v="97"/>
    <n v="3"/>
    <n v="2"/>
    <n v="0"/>
    <n v="5"/>
    <n v="5"/>
    <n v="0"/>
    <n v="3"/>
    <n v="14"/>
  </r>
  <r>
    <x v="1"/>
    <n v="30"/>
    <n v="1"/>
    <n v="9"/>
    <n v="6"/>
    <n v="7"/>
    <n v="6"/>
    <n v="6"/>
    <n v="7"/>
    <n v="6"/>
    <n v="4"/>
    <n v="6"/>
    <n v="6"/>
    <n v="4"/>
    <n v="6"/>
    <n v="8"/>
    <n v="7"/>
    <n v="6"/>
    <n v="3"/>
    <n v="8"/>
    <n v="6"/>
    <n v="111"/>
    <n v="2"/>
    <n v="0"/>
    <n v="0"/>
    <n v="1"/>
    <n v="9"/>
    <n v="3"/>
    <n v="3"/>
    <n v="10"/>
  </r>
  <r>
    <x v="2"/>
    <n v="18"/>
    <n v="1"/>
    <n v="6"/>
    <n v="8"/>
    <n v="5"/>
    <n v="5"/>
    <n v="4"/>
    <n v="6"/>
    <n v="5"/>
    <n v="5"/>
    <n v="5"/>
    <n v="6"/>
    <n v="5"/>
    <n v="5"/>
    <n v="5"/>
    <n v="7"/>
    <n v="6"/>
    <n v="3"/>
    <n v="6"/>
    <n v="7"/>
    <n v="99"/>
    <n v="2"/>
    <n v="0"/>
    <n v="0"/>
    <n v="7"/>
    <n v="7"/>
    <n v="1"/>
    <n v="1"/>
    <n v="10"/>
  </r>
  <r>
    <x v="3"/>
    <n v="36"/>
    <n v="1"/>
    <n v="7"/>
    <n v="6"/>
    <n v="6"/>
    <n v="5"/>
    <n v="6"/>
    <n v="7"/>
    <n v="5"/>
    <n v="9"/>
    <n v="6"/>
    <n v="6"/>
    <n v="4"/>
    <n v="6"/>
    <n v="8"/>
    <n v="10"/>
    <n v="6"/>
    <n v="5"/>
    <n v="7"/>
    <n v="7"/>
    <n v="116"/>
    <n v="0"/>
    <n v="0"/>
    <n v="0"/>
    <n v="1"/>
    <n v="12"/>
    <n v="2"/>
    <n v="3"/>
    <n v="9"/>
  </r>
  <r>
    <x v="4"/>
    <n v="22"/>
    <n v="1"/>
    <n v="9"/>
    <n v="6"/>
    <n v="4"/>
    <n v="4"/>
    <n v="4"/>
    <n v="6"/>
    <n v="5"/>
    <n v="7"/>
    <n v="7"/>
    <n v="6"/>
    <n v="4"/>
    <n v="5"/>
    <n v="4"/>
    <n v="8"/>
    <n v="5"/>
    <n v="4"/>
    <n v="6"/>
    <n v="7"/>
    <n v="101"/>
    <n v="3"/>
    <n v="0"/>
    <n v="0"/>
    <n v="6"/>
    <n v="4"/>
    <n v="4"/>
    <n v="1"/>
    <n v="8"/>
  </r>
  <r>
    <x v="3"/>
    <n v="36"/>
    <n v="2"/>
    <n v="6"/>
    <n v="7"/>
    <n v="6"/>
    <n v="4"/>
    <n v="5"/>
    <n v="7"/>
    <n v="5"/>
    <n v="7"/>
    <n v="5"/>
    <n v="7"/>
    <n v="5"/>
    <n v="6"/>
    <n v="8"/>
    <n v="8"/>
    <n v="9"/>
    <n v="5"/>
    <n v="7"/>
    <n v="6"/>
    <n v="113"/>
    <n v="0"/>
    <n v="0"/>
    <n v="0"/>
    <n v="4"/>
    <n v="7"/>
    <n v="5"/>
    <n v="2"/>
    <n v="6"/>
  </r>
  <r>
    <x v="5"/>
    <n v="28"/>
    <n v="2"/>
    <n v="8"/>
    <n v="8"/>
    <n v="4"/>
    <n v="3"/>
    <n v="6"/>
    <n v="6"/>
    <n v="3"/>
    <n v="6"/>
    <n v="5"/>
    <n v="6"/>
    <n v="5"/>
    <n v="6"/>
    <n v="8"/>
    <n v="7"/>
    <n v="4"/>
    <n v="5"/>
    <n v="7"/>
    <n v="8"/>
    <n v="105"/>
    <n v="4"/>
    <n v="0"/>
    <n v="0"/>
    <n v="2"/>
    <n v="7"/>
    <n v="2"/>
    <n v="3"/>
    <n v="6"/>
  </r>
  <r>
    <x v="2"/>
    <n v="18"/>
    <n v="2"/>
    <n v="6"/>
    <n v="6"/>
    <n v="5"/>
    <n v="4"/>
    <n v="4"/>
    <n v="4"/>
    <n v="4"/>
    <n v="3"/>
    <n v="4"/>
    <n v="9"/>
    <n v="5"/>
    <n v="6"/>
    <n v="4"/>
    <n v="6"/>
    <n v="6"/>
    <n v="6"/>
    <n v="8"/>
    <n v="5"/>
    <n v="95"/>
    <n v="3"/>
    <n v="2"/>
    <n v="0"/>
    <n v="6"/>
    <n v="4"/>
    <n v="1"/>
    <n v="2"/>
    <n v="6"/>
  </r>
  <r>
    <x v="1"/>
    <n v="30"/>
    <n v="2"/>
    <n v="6"/>
    <n v="8"/>
    <n v="5"/>
    <n v="3"/>
    <n v="8"/>
    <n v="8"/>
    <n v="4"/>
    <n v="4"/>
    <n v="5"/>
    <n v="7"/>
    <n v="4"/>
    <n v="7"/>
    <n v="7"/>
    <n v="6"/>
    <n v="7"/>
    <n v="3"/>
    <n v="8"/>
    <n v="6"/>
    <n v="106"/>
    <n v="3"/>
    <n v="0"/>
    <n v="0"/>
    <n v="6"/>
    <n v="1"/>
    <n v="5"/>
    <n v="3"/>
    <n v="5"/>
  </r>
  <r>
    <x v="6"/>
    <n v="23"/>
    <n v="1"/>
    <n v="7"/>
    <n v="5"/>
    <n v="4"/>
    <n v="6"/>
    <n v="11"/>
    <n v="7"/>
    <n v="4"/>
    <n v="4"/>
    <n v="4"/>
    <n v="4"/>
    <n v="6"/>
    <n v="7"/>
    <n v="4"/>
    <n v="6"/>
    <n v="6"/>
    <n v="3"/>
    <n v="6"/>
    <n v="5"/>
    <n v="99"/>
    <n v="6"/>
    <n v="0"/>
    <n v="0"/>
    <n v="4"/>
    <n v="4"/>
    <n v="3"/>
    <n v="1"/>
    <n v="5"/>
  </r>
  <r>
    <x v="7"/>
    <n v="16"/>
    <n v="1"/>
    <n v="5"/>
    <n v="6"/>
    <n v="7"/>
    <n v="3"/>
    <n v="6"/>
    <n v="5"/>
    <n v="6"/>
    <n v="8"/>
    <n v="4"/>
    <n v="5"/>
    <n v="3"/>
    <n v="4"/>
    <n v="6"/>
    <n v="5"/>
    <n v="5"/>
    <n v="3"/>
    <n v="6"/>
    <n v="5"/>
    <n v="92"/>
    <n v="8"/>
    <n v="0"/>
    <n v="0"/>
    <n v="3"/>
    <n v="4"/>
    <n v="2"/>
    <n v="1"/>
    <n v="5"/>
  </r>
  <r>
    <x v="8"/>
    <n v="16"/>
    <n v="2"/>
    <n v="5"/>
    <n v="4"/>
    <n v="4"/>
    <n v="4"/>
    <n v="7"/>
    <n v="5"/>
    <n v="5"/>
    <n v="4"/>
    <n v="5"/>
    <n v="8"/>
    <n v="7"/>
    <n v="4"/>
    <n v="4"/>
    <n v="7"/>
    <n v="5"/>
    <n v="5"/>
    <n v="5"/>
    <n v="4"/>
    <n v="92"/>
    <n v="8"/>
    <n v="0"/>
    <n v="0"/>
    <n v="4"/>
    <n v="3"/>
    <n v="1"/>
    <n v="2"/>
    <n v="5"/>
  </r>
  <r>
    <x v="9"/>
    <n v="14"/>
    <n v="2"/>
    <n v="5"/>
    <n v="6"/>
    <n v="4"/>
    <n v="4"/>
    <n v="4"/>
    <n v="6"/>
    <n v="5"/>
    <n v="4"/>
    <n v="5"/>
    <n v="5"/>
    <n v="4"/>
    <n v="5"/>
    <n v="5"/>
    <n v="7"/>
    <n v="5"/>
    <n v="4"/>
    <n v="6"/>
    <n v="6"/>
    <n v="90"/>
    <n v="4"/>
    <n v="0"/>
    <n v="0"/>
    <n v="9"/>
    <n v="5"/>
    <n v="0"/>
    <n v="0"/>
    <n v="5"/>
  </r>
  <r>
    <x v="10"/>
    <n v="20"/>
    <n v="1"/>
    <n v="6"/>
    <n v="6"/>
    <n v="4"/>
    <n v="5"/>
    <n v="5"/>
    <n v="7"/>
    <n v="5"/>
    <n v="6"/>
    <n v="4"/>
    <n v="5"/>
    <n v="4"/>
    <n v="5"/>
    <n v="5"/>
    <n v="6"/>
    <n v="6"/>
    <n v="3"/>
    <n v="7"/>
    <n v="6"/>
    <n v="95"/>
    <n v="3"/>
    <n v="0"/>
    <n v="0"/>
    <n v="7"/>
    <n v="7"/>
    <n v="1"/>
    <n v="0"/>
    <n v="4"/>
  </r>
  <r>
    <x v="11"/>
    <n v="15"/>
    <n v="1"/>
    <n v="5"/>
    <n v="6"/>
    <n v="4"/>
    <n v="4"/>
    <n v="5"/>
    <n v="4"/>
    <n v="4"/>
    <n v="4"/>
    <n v="6"/>
    <n v="5"/>
    <n v="3"/>
    <n v="5"/>
    <n v="4"/>
    <n v="9"/>
    <n v="5"/>
    <n v="4"/>
    <n v="7"/>
    <n v="6"/>
    <n v="90"/>
    <n v="5"/>
    <n v="1"/>
    <n v="0"/>
    <n v="7"/>
    <n v="3"/>
    <n v="1"/>
    <n v="1"/>
    <n v="4"/>
  </r>
  <r>
    <x v="12"/>
    <n v="26"/>
    <n v="1"/>
    <n v="6"/>
    <n v="5"/>
    <n v="5"/>
    <n v="6"/>
    <n v="4"/>
    <n v="6"/>
    <n v="5"/>
    <n v="5"/>
    <n v="7"/>
    <n v="6"/>
    <n v="4"/>
    <n v="4"/>
    <n v="5"/>
    <n v="6"/>
    <n v="7"/>
    <n v="6"/>
    <n v="6"/>
    <n v="7"/>
    <n v="100"/>
    <n v="2"/>
    <n v="0"/>
    <n v="0"/>
    <n v="8"/>
    <n v="3"/>
    <n v="5"/>
    <n v="0"/>
    <n v="3"/>
  </r>
  <r>
    <x v="6"/>
    <n v="23"/>
    <n v="2"/>
    <n v="6"/>
    <n v="5"/>
    <n v="5"/>
    <n v="5"/>
    <n v="7"/>
    <n v="4"/>
    <n v="4"/>
    <n v="4"/>
    <n v="8"/>
    <n v="10"/>
    <n v="4"/>
    <n v="4"/>
    <n v="5"/>
    <n v="7"/>
    <n v="5"/>
    <n v="3"/>
    <n v="5"/>
    <n v="6"/>
    <n v="97"/>
    <n v="3"/>
    <n v="1"/>
    <n v="0"/>
    <n v="8"/>
    <n v="3"/>
    <n v="1"/>
    <n v="2"/>
    <n v="3"/>
  </r>
  <r>
    <x v="13"/>
    <n v="18"/>
    <n v="1"/>
    <n v="5"/>
    <n v="5"/>
    <n v="5"/>
    <n v="6"/>
    <n v="6"/>
    <n v="4"/>
    <n v="6"/>
    <n v="5"/>
    <n v="7"/>
    <n v="4"/>
    <n v="3"/>
    <n v="6"/>
    <n v="4"/>
    <n v="5"/>
    <n v="5"/>
    <n v="5"/>
    <n v="6"/>
    <n v="5"/>
    <n v="92"/>
    <n v="5"/>
    <n v="1"/>
    <n v="0"/>
    <n v="5"/>
    <n v="4"/>
    <n v="3"/>
    <n v="0"/>
    <n v="3"/>
  </r>
  <r>
    <x v="7"/>
    <n v="16"/>
    <n v="2"/>
    <n v="6"/>
    <n v="8"/>
    <n v="5"/>
    <n v="4"/>
    <n v="5"/>
    <n v="6"/>
    <n v="4"/>
    <n v="5"/>
    <n v="5"/>
    <n v="5"/>
    <n v="4"/>
    <n v="4"/>
    <n v="4"/>
    <n v="5"/>
    <n v="6"/>
    <n v="4"/>
    <n v="5"/>
    <n v="5"/>
    <n v="90"/>
    <n v="3"/>
    <n v="0"/>
    <n v="0"/>
    <n v="13"/>
    <n v="1"/>
    <n v="0"/>
    <n v="1"/>
    <n v="3"/>
  </r>
  <r>
    <x v="14"/>
    <n v="14"/>
    <n v="2"/>
    <n v="5"/>
    <n v="5"/>
    <n v="6"/>
    <n v="4"/>
    <n v="4"/>
    <n v="4"/>
    <n v="5"/>
    <n v="5"/>
    <n v="5"/>
    <n v="6"/>
    <n v="4"/>
    <n v="5"/>
    <n v="5"/>
    <n v="6"/>
    <n v="5"/>
    <n v="3"/>
    <n v="6"/>
    <n v="5"/>
    <n v="88"/>
    <n v="3"/>
    <n v="1"/>
    <n v="0"/>
    <n v="10"/>
    <n v="4"/>
    <n v="0"/>
    <n v="0"/>
    <n v="3"/>
  </r>
  <r>
    <x v="15"/>
    <n v="6"/>
    <n v="1"/>
    <n v="6"/>
    <n v="3"/>
    <n v="5"/>
    <n v="3"/>
    <n v="5"/>
    <n v="5"/>
    <n v="3"/>
    <n v="4"/>
    <n v="5"/>
    <n v="5"/>
    <n v="3"/>
    <n v="6"/>
    <n v="6"/>
    <n v="6"/>
    <n v="4"/>
    <n v="3"/>
    <n v="3"/>
    <n v="5"/>
    <n v="80"/>
    <n v="7"/>
    <n v="2"/>
    <n v="0"/>
    <n v="7"/>
    <n v="2"/>
    <n v="0"/>
    <n v="0"/>
    <n v="3"/>
  </r>
  <r>
    <x v="16"/>
    <n v="20"/>
    <n v="2"/>
    <n v="5"/>
    <n v="5"/>
    <n v="5"/>
    <n v="4"/>
    <n v="7"/>
    <n v="7"/>
    <n v="4"/>
    <n v="6"/>
    <n v="7"/>
    <n v="7"/>
    <n v="4"/>
    <n v="4"/>
    <n v="4"/>
    <n v="6"/>
    <n v="5"/>
    <n v="2"/>
    <n v="5"/>
    <n v="6"/>
    <n v="93"/>
    <n v="3"/>
    <n v="1"/>
    <n v="0"/>
    <n v="8"/>
    <n v="3"/>
    <n v="3"/>
    <n v="0"/>
    <n v="2"/>
  </r>
  <r>
    <x v="17"/>
    <n v="15"/>
    <n v="1"/>
    <n v="4"/>
    <n v="4"/>
    <n v="5"/>
    <n v="3"/>
    <n v="6"/>
    <n v="3"/>
    <n v="5"/>
    <n v="5"/>
    <n v="6"/>
    <n v="9"/>
    <n v="3"/>
    <n v="7"/>
    <n v="3"/>
    <n v="5"/>
    <n v="6"/>
    <n v="3"/>
    <n v="5"/>
    <n v="6"/>
    <n v="88"/>
    <n v="5"/>
    <n v="2"/>
    <n v="1"/>
    <n v="3"/>
    <n v="5"/>
    <n v="1"/>
    <n v="1"/>
    <n v="2"/>
  </r>
  <r>
    <x v="18"/>
    <n v="6"/>
    <n v="2"/>
    <n v="5"/>
    <n v="5"/>
    <n v="6"/>
    <n v="4"/>
    <n v="4"/>
    <n v="4"/>
    <n v="4"/>
    <n v="4"/>
    <n v="6"/>
    <n v="4"/>
    <n v="3"/>
    <n v="4"/>
    <n v="4"/>
    <n v="4"/>
    <n v="5"/>
    <n v="4"/>
    <n v="5"/>
    <n v="4"/>
    <n v="79"/>
    <n v="8"/>
    <n v="2"/>
    <n v="0"/>
    <n v="6"/>
    <n v="2"/>
    <n v="0"/>
    <n v="0"/>
    <n v="2"/>
  </r>
  <r>
    <x v="19"/>
    <n v="40"/>
    <n v="1"/>
    <n v="11"/>
    <n v="5"/>
    <n v="5"/>
    <n v="4"/>
    <n v="5"/>
    <n v="7"/>
    <n v="6"/>
    <n v="6"/>
    <n v="6"/>
    <n v="7"/>
    <n v="5"/>
    <n v="7"/>
    <n v="9"/>
    <n v="7"/>
    <n v="6"/>
    <n v="3"/>
    <n v="7"/>
    <n v="6"/>
    <n v="112"/>
    <n v="1"/>
    <n v="0"/>
    <n v="0"/>
    <n v="4"/>
    <n v="7"/>
    <n v="4"/>
    <n v="2"/>
    <n v="1"/>
  </r>
  <r>
    <x v="10"/>
    <n v="20"/>
    <n v="2"/>
    <n v="5"/>
    <n v="7"/>
    <n v="6"/>
    <n v="5"/>
    <n v="5"/>
    <n v="5"/>
    <n v="3"/>
    <n v="6"/>
    <n v="4"/>
    <n v="6"/>
    <n v="5"/>
    <n v="4"/>
    <n v="4"/>
    <n v="6"/>
    <n v="6"/>
    <n v="4"/>
    <n v="5"/>
    <n v="6"/>
    <n v="92"/>
    <n v="6"/>
    <n v="0"/>
    <n v="0"/>
    <n v="4"/>
    <n v="7"/>
    <n v="1"/>
    <n v="0"/>
    <n v="1"/>
  </r>
  <r>
    <x v="20"/>
    <n v="18"/>
    <n v="2"/>
    <n v="4"/>
    <n v="5"/>
    <n v="5"/>
    <n v="4"/>
    <n v="6"/>
    <n v="5"/>
    <n v="4"/>
    <n v="6"/>
    <n v="5"/>
    <n v="5"/>
    <n v="4"/>
    <n v="5"/>
    <n v="6"/>
    <n v="6"/>
    <n v="6"/>
    <n v="3"/>
    <n v="5"/>
    <n v="6"/>
    <n v="90"/>
    <n v="2"/>
    <n v="1"/>
    <n v="0"/>
    <n v="10"/>
    <n v="5"/>
    <n v="0"/>
    <n v="0"/>
    <n v="1"/>
  </r>
  <r>
    <x v="21"/>
    <n v="16"/>
    <n v="1"/>
    <n v="7"/>
    <n v="5"/>
    <n v="5"/>
    <n v="4"/>
    <n v="5"/>
    <n v="3"/>
    <n v="4"/>
    <n v="4"/>
    <n v="6"/>
    <n v="4"/>
    <n v="4"/>
    <n v="8"/>
    <n v="5"/>
    <n v="6"/>
    <n v="5"/>
    <n v="3"/>
    <n v="6"/>
    <n v="4"/>
    <n v="88"/>
    <n v="4"/>
    <n v="0"/>
    <n v="1"/>
    <n v="9"/>
    <n v="3"/>
    <n v="0"/>
    <n v="1"/>
    <n v="1"/>
  </r>
  <r>
    <x v="14"/>
    <n v="14"/>
    <n v="1"/>
    <n v="5"/>
    <n v="6"/>
    <n v="5"/>
    <n v="4"/>
    <n v="4"/>
    <n v="4"/>
    <n v="4"/>
    <n v="6"/>
    <n v="5"/>
    <n v="5"/>
    <n v="5"/>
    <n v="6"/>
    <n v="6"/>
    <n v="4"/>
    <n v="4"/>
    <n v="4"/>
    <n v="4"/>
    <n v="5"/>
    <n v="86"/>
    <n v="4"/>
    <n v="2"/>
    <n v="0"/>
    <n v="7"/>
    <n v="5"/>
    <n v="0"/>
    <n v="0"/>
    <n v="1"/>
  </r>
  <r>
    <x v="22"/>
    <n v="14"/>
    <n v="1"/>
    <n v="5"/>
    <n v="4"/>
    <n v="3"/>
    <n v="4"/>
    <n v="6"/>
    <n v="5"/>
    <n v="4"/>
    <n v="5"/>
    <n v="5"/>
    <n v="6"/>
    <n v="4"/>
    <n v="6"/>
    <n v="5"/>
    <n v="6"/>
    <n v="4"/>
    <n v="3"/>
    <n v="6"/>
    <n v="5"/>
    <n v="86"/>
    <n v="5"/>
    <n v="1"/>
    <n v="0"/>
    <n v="8"/>
    <n v="4"/>
    <n v="0"/>
    <n v="0"/>
    <n v="1"/>
  </r>
  <r>
    <x v="0"/>
    <n v="12"/>
    <n v="2"/>
    <n v="7"/>
    <n v="4"/>
    <n v="4"/>
    <n v="3"/>
    <n v="4"/>
    <n v="4"/>
    <n v="5"/>
    <n v="3"/>
    <n v="5"/>
    <n v="5"/>
    <n v="3"/>
    <n v="5"/>
    <n v="6"/>
    <n v="5"/>
    <n v="5"/>
    <n v="3"/>
    <n v="7"/>
    <n v="6"/>
    <n v="84"/>
    <n v="7"/>
    <n v="2"/>
    <n v="0"/>
    <n v="4"/>
    <n v="4"/>
    <n v="1"/>
    <n v="0"/>
    <n v="1"/>
  </r>
  <r>
    <x v="18"/>
    <n v="6"/>
    <n v="1"/>
    <n v="6"/>
    <n v="4"/>
    <n v="5"/>
    <n v="3"/>
    <n v="4"/>
    <n v="5"/>
    <n v="4"/>
    <n v="4"/>
    <n v="4"/>
    <n v="5"/>
    <n v="6"/>
    <n v="3"/>
    <n v="5"/>
    <n v="4"/>
    <n v="5"/>
    <n v="4"/>
    <n v="3"/>
    <n v="4"/>
    <n v="78"/>
    <n v="7"/>
    <n v="3"/>
    <n v="0"/>
    <n v="7"/>
    <n v="0"/>
    <n v="1"/>
    <n v="0"/>
    <n v="1"/>
  </r>
  <r>
    <x v="4"/>
    <n v="22"/>
    <n v="2"/>
    <n v="6"/>
    <n v="6"/>
    <n v="5"/>
    <n v="2"/>
    <n v="5"/>
    <n v="6"/>
    <n v="5"/>
    <n v="4"/>
    <n v="5"/>
    <n v="10"/>
    <n v="3"/>
    <n v="5"/>
    <n v="5"/>
    <n v="6"/>
    <n v="5"/>
    <n v="4"/>
    <n v="6"/>
    <n v="5"/>
    <n v="93"/>
    <n v="2"/>
    <n v="1"/>
    <n v="0"/>
    <n v="11"/>
    <n v="3"/>
    <n v="0"/>
    <n v="1"/>
    <n v="0"/>
  </r>
  <r>
    <x v="23"/>
    <n v="18"/>
    <n v="2"/>
    <n v="7"/>
    <n v="5"/>
    <n v="5"/>
    <n v="5"/>
    <n v="6"/>
    <n v="3"/>
    <n v="7"/>
    <n v="6"/>
    <n v="4"/>
    <n v="6"/>
    <n v="3"/>
    <n v="4"/>
    <n v="5"/>
    <n v="5"/>
    <n v="4"/>
    <n v="3"/>
    <n v="5"/>
    <n v="6"/>
    <n v="89"/>
    <n v="6"/>
    <n v="0"/>
    <n v="1"/>
    <n v="4"/>
    <n v="6"/>
    <n v="0"/>
    <n v="1"/>
    <n v="0"/>
  </r>
  <r>
    <x v="11"/>
    <n v="15"/>
    <n v="2"/>
    <n v="7"/>
    <n v="5"/>
    <n v="3"/>
    <n v="3"/>
    <n v="6"/>
    <n v="5"/>
    <n v="6"/>
    <n v="4"/>
    <n v="4"/>
    <n v="4"/>
    <n v="3"/>
    <n v="4"/>
    <n v="4"/>
    <n v="7"/>
    <n v="5"/>
    <n v="5"/>
    <n v="5"/>
    <n v="6"/>
    <n v="86"/>
    <n v="8"/>
    <n v="1"/>
    <n v="0"/>
    <n v="3"/>
    <n v="5"/>
    <n v="1"/>
    <n v="0"/>
    <n v="0"/>
  </r>
  <r>
    <x v="24"/>
    <n v="6"/>
    <n v="1"/>
    <n v="5"/>
    <n v="4"/>
    <n v="5"/>
    <n v="4"/>
    <n v="4"/>
    <n v="5"/>
    <n v="3"/>
    <n v="4"/>
    <n v="5"/>
    <n v="7"/>
    <n v="3"/>
    <n v="4"/>
    <n v="4"/>
    <n v="4"/>
    <n v="4"/>
    <n v="4"/>
    <n v="4"/>
    <n v="4"/>
    <n v="77"/>
    <n v="12"/>
    <n v="1"/>
    <n v="0"/>
    <n v="4"/>
    <n v="0"/>
    <n v="1"/>
    <n v="0"/>
    <n v="0"/>
  </r>
  <r>
    <x v="25"/>
    <n v="25"/>
    <n v="2"/>
    <n v="6"/>
    <n v="5"/>
    <n v="4"/>
    <n v="4"/>
    <n v="7"/>
    <n v="4"/>
    <n v="5"/>
    <n v="6"/>
    <n v="7"/>
    <n v="6"/>
    <n v="6"/>
    <n v="5"/>
    <n v="4"/>
    <n v="6"/>
    <n v="6"/>
    <n v="3"/>
    <n v="4"/>
    <n v="7"/>
    <n v="95"/>
    <n v="4"/>
    <n v="1"/>
    <n v="0"/>
    <n v="5"/>
    <n v="4"/>
    <n v="4"/>
    <n v="0"/>
    <n v="-1"/>
  </r>
  <r>
    <x v="21"/>
    <n v="16"/>
    <n v="2"/>
    <n v="5"/>
    <n v="5"/>
    <n v="5"/>
    <n v="3"/>
    <n v="5"/>
    <n v="5"/>
    <n v="5"/>
    <n v="4"/>
    <n v="4"/>
    <n v="7"/>
    <n v="3"/>
    <n v="5"/>
    <n v="5"/>
    <n v="5"/>
    <n v="4"/>
    <n v="3"/>
    <n v="6"/>
    <n v="7"/>
    <n v="86"/>
    <n v="9"/>
    <n v="0"/>
    <n v="0"/>
    <n v="5"/>
    <n v="2"/>
    <n v="2"/>
    <n v="0"/>
    <n v="-1"/>
  </r>
  <r>
    <x v="26"/>
    <n v="10"/>
    <n v="1"/>
    <n v="4"/>
    <n v="5"/>
    <n v="4"/>
    <n v="3"/>
    <n v="5"/>
    <n v="5"/>
    <n v="3"/>
    <n v="5"/>
    <n v="4"/>
    <n v="5"/>
    <n v="4"/>
    <n v="4"/>
    <n v="6"/>
    <n v="5"/>
    <n v="5"/>
    <n v="3"/>
    <n v="5"/>
    <n v="5"/>
    <n v="80"/>
    <n v="8"/>
    <n v="1"/>
    <n v="0"/>
    <n v="8"/>
    <n v="1"/>
    <n v="0"/>
    <n v="0"/>
    <n v="-1"/>
  </r>
  <r>
    <x v="27"/>
    <n v="7"/>
    <n v="1"/>
    <n v="5"/>
    <n v="4"/>
    <n v="4"/>
    <n v="3"/>
    <n v="4"/>
    <n v="7"/>
    <n v="4"/>
    <n v="3"/>
    <n v="4"/>
    <n v="6"/>
    <n v="3"/>
    <n v="4"/>
    <n v="5"/>
    <n v="4"/>
    <n v="4"/>
    <n v="3"/>
    <n v="5"/>
    <n v="5"/>
    <n v="77"/>
    <n v="10"/>
    <n v="2"/>
    <n v="0"/>
    <n v="4"/>
    <n v="2"/>
    <n v="0"/>
    <n v="0"/>
    <n v="-1"/>
  </r>
  <r>
    <x v="28"/>
    <n v="27"/>
    <n v="2"/>
    <n v="7"/>
    <n v="5"/>
    <n v="5"/>
    <n v="5"/>
    <n v="6"/>
    <n v="7"/>
    <n v="5"/>
    <n v="6"/>
    <n v="4"/>
    <n v="5"/>
    <n v="6"/>
    <n v="4"/>
    <n v="5"/>
    <n v="4"/>
    <n v="7"/>
    <n v="3"/>
    <n v="6"/>
    <n v="6"/>
    <n v="96"/>
    <n v="3"/>
    <n v="1"/>
    <n v="0"/>
    <n v="4"/>
    <n v="8"/>
    <n v="2"/>
    <n v="0"/>
    <n v="-2"/>
  </r>
  <r>
    <x v="25"/>
    <n v="25"/>
    <n v="1"/>
    <n v="6"/>
    <n v="6"/>
    <n v="4"/>
    <n v="4"/>
    <n v="4"/>
    <n v="6"/>
    <n v="4"/>
    <n v="6"/>
    <n v="4"/>
    <n v="8"/>
    <n v="6"/>
    <n v="5"/>
    <n v="4"/>
    <n v="6"/>
    <n v="6"/>
    <n v="3"/>
    <n v="5"/>
    <n v="7"/>
    <n v="94"/>
    <n v="5"/>
    <n v="0"/>
    <n v="0"/>
    <n v="7"/>
    <n v="3"/>
    <n v="2"/>
    <n v="1"/>
    <n v="-2"/>
  </r>
  <r>
    <x v="16"/>
    <n v="20"/>
    <n v="1"/>
    <n v="5"/>
    <n v="7"/>
    <n v="6"/>
    <n v="3"/>
    <n v="4"/>
    <n v="8"/>
    <n v="4"/>
    <n v="3"/>
    <n v="6"/>
    <n v="4"/>
    <n v="3"/>
    <n v="4"/>
    <n v="6"/>
    <n v="6"/>
    <n v="5"/>
    <n v="4"/>
    <n v="6"/>
    <n v="5"/>
    <n v="89"/>
    <n v="6"/>
    <n v="1"/>
    <n v="0"/>
    <n v="5"/>
    <n v="4"/>
    <n v="2"/>
    <n v="0"/>
    <n v="-2"/>
  </r>
  <r>
    <x v="23"/>
    <n v="18"/>
    <n v="1"/>
    <n v="5"/>
    <n v="4"/>
    <n v="5"/>
    <n v="4"/>
    <n v="5"/>
    <n v="7"/>
    <n v="4"/>
    <n v="5"/>
    <n v="6"/>
    <n v="4"/>
    <n v="4"/>
    <n v="4"/>
    <n v="4"/>
    <n v="7"/>
    <n v="5"/>
    <n v="4"/>
    <n v="4"/>
    <n v="6"/>
    <n v="87"/>
    <n v="6"/>
    <n v="0"/>
    <n v="0"/>
    <n v="8"/>
    <n v="4"/>
    <n v="0"/>
    <n v="0"/>
    <n v="-2"/>
  </r>
  <r>
    <x v="29"/>
    <n v="18"/>
    <n v="2"/>
    <n v="6"/>
    <n v="5"/>
    <n v="4"/>
    <n v="4"/>
    <n v="6"/>
    <n v="5"/>
    <n v="5"/>
    <n v="4"/>
    <n v="5"/>
    <n v="4"/>
    <n v="4"/>
    <n v="5"/>
    <n v="4"/>
    <n v="6"/>
    <n v="5"/>
    <n v="4"/>
    <n v="4"/>
    <n v="7"/>
    <n v="87"/>
    <n v="6"/>
    <n v="0"/>
    <n v="0"/>
    <n v="9"/>
    <n v="2"/>
    <n v="1"/>
    <n v="0"/>
    <n v="-2"/>
  </r>
  <r>
    <x v="13"/>
    <n v="18"/>
    <n v="2"/>
    <n v="6"/>
    <n v="5"/>
    <n v="4"/>
    <n v="3"/>
    <n v="3"/>
    <n v="5"/>
    <n v="5"/>
    <n v="6"/>
    <n v="5"/>
    <n v="6"/>
    <n v="5"/>
    <n v="4"/>
    <n v="5"/>
    <n v="6"/>
    <n v="5"/>
    <n v="4"/>
    <n v="5"/>
    <n v="5"/>
    <n v="87"/>
    <n v="4"/>
    <n v="1"/>
    <n v="0"/>
    <n v="9"/>
    <n v="4"/>
    <n v="0"/>
    <n v="0"/>
    <n v="-2"/>
  </r>
  <r>
    <x v="8"/>
    <n v="16"/>
    <n v="1"/>
    <n v="6"/>
    <n v="5"/>
    <n v="4"/>
    <n v="4"/>
    <n v="4"/>
    <n v="5"/>
    <n v="6"/>
    <n v="4"/>
    <n v="6"/>
    <n v="6"/>
    <n v="4"/>
    <n v="3"/>
    <n v="4"/>
    <n v="5"/>
    <n v="4"/>
    <n v="2"/>
    <n v="5"/>
    <n v="8"/>
    <n v="85"/>
    <n v="7"/>
    <n v="2"/>
    <n v="0"/>
    <n v="5"/>
    <n v="2"/>
    <n v="1"/>
    <n v="1"/>
    <n v="-2"/>
  </r>
  <r>
    <x v="30"/>
    <n v="30"/>
    <n v="2"/>
    <n v="6"/>
    <n v="7"/>
    <n v="6"/>
    <n v="5"/>
    <n v="6"/>
    <n v="5"/>
    <n v="4"/>
    <n v="5"/>
    <n v="6"/>
    <n v="6"/>
    <n v="4"/>
    <n v="5"/>
    <n v="5"/>
    <n v="7"/>
    <n v="5"/>
    <n v="3"/>
    <n v="7"/>
    <n v="6"/>
    <n v="98"/>
    <n v="2"/>
    <n v="0"/>
    <n v="0"/>
    <n v="7"/>
    <n v="7"/>
    <n v="2"/>
    <n v="0"/>
    <n v="-3"/>
  </r>
  <r>
    <x v="28"/>
    <n v="27"/>
    <n v="1"/>
    <n v="10"/>
    <n v="5"/>
    <n v="5"/>
    <n v="5"/>
    <n v="5"/>
    <n v="4"/>
    <n v="5"/>
    <n v="3"/>
    <n v="5"/>
    <n v="4"/>
    <n v="4"/>
    <n v="8"/>
    <n v="5"/>
    <n v="7"/>
    <n v="5"/>
    <n v="3"/>
    <n v="5"/>
    <n v="7"/>
    <n v="95"/>
    <n v="2"/>
    <n v="2"/>
    <n v="0"/>
    <n v="8"/>
    <n v="3"/>
    <n v="1"/>
    <n v="2"/>
    <n v="-3"/>
  </r>
  <r>
    <x v="20"/>
    <n v="18"/>
    <n v="1"/>
    <n v="7"/>
    <n v="5"/>
    <n v="5"/>
    <n v="3"/>
    <n v="4"/>
    <n v="5"/>
    <n v="4"/>
    <n v="5"/>
    <n v="5"/>
    <n v="5"/>
    <n v="3"/>
    <n v="5"/>
    <n v="5"/>
    <n v="6"/>
    <n v="6"/>
    <n v="4"/>
    <n v="4"/>
    <n v="5"/>
    <n v="86"/>
    <n v="5"/>
    <n v="0"/>
    <n v="0"/>
    <n v="11"/>
    <n v="2"/>
    <n v="0"/>
    <n v="0"/>
    <n v="-3"/>
  </r>
  <r>
    <x v="17"/>
    <n v="15"/>
    <n v="2"/>
    <n v="5"/>
    <n v="4"/>
    <n v="4"/>
    <n v="6"/>
    <n v="6"/>
    <n v="5"/>
    <n v="3"/>
    <n v="4"/>
    <n v="5"/>
    <n v="7"/>
    <n v="3"/>
    <n v="4"/>
    <n v="5"/>
    <n v="5"/>
    <n v="5"/>
    <n v="3"/>
    <n v="4"/>
    <n v="5"/>
    <n v="83"/>
    <n v="11"/>
    <n v="0"/>
    <n v="0"/>
    <n v="4"/>
    <n v="1"/>
    <n v="2"/>
    <n v="0"/>
    <n v="-3"/>
  </r>
  <r>
    <x v="9"/>
    <n v="14"/>
    <n v="1"/>
    <n v="6"/>
    <n v="4"/>
    <n v="4"/>
    <n v="4"/>
    <n v="5"/>
    <n v="5"/>
    <n v="4"/>
    <n v="4"/>
    <n v="6"/>
    <n v="5"/>
    <n v="4"/>
    <n v="4"/>
    <n v="5"/>
    <n v="5"/>
    <n v="5"/>
    <n v="3"/>
    <n v="4"/>
    <n v="5"/>
    <n v="82"/>
    <n v="8"/>
    <n v="0"/>
    <n v="0"/>
    <n v="9"/>
    <n v="1"/>
    <n v="0"/>
    <n v="0"/>
    <n v="-3"/>
  </r>
  <r>
    <x v="22"/>
    <n v="14"/>
    <n v="2"/>
    <n v="6"/>
    <n v="5"/>
    <n v="5"/>
    <n v="3"/>
    <n v="5"/>
    <n v="7"/>
    <n v="5"/>
    <n v="4"/>
    <n v="4"/>
    <n v="4"/>
    <n v="4"/>
    <n v="4"/>
    <n v="6"/>
    <n v="5"/>
    <n v="3"/>
    <n v="3"/>
    <n v="4"/>
    <n v="5"/>
    <n v="82"/>
    <n v="8"/>
    <n v="1"/>
    <n v="0"/>
    <n v="6"/>
    <n v="3"/>
    <n v="0"/>
    <n v="0"/>
    <n v="-3"/>
  </r>
  <r>
    <x v="27"/>
    <n v="7"/>
    <n v="2"/>
    <n v="5"/>
    <n v="6"/>
    <n v="4"/>
    <n v="3"/>
    <n v="4"/>
    <n v="4"/>
    <n v="4"/>
    <n v="4"/>
    <n v="5"/>
    <n v="4"/>
    <n v="3"/>
    <n v="4"/>
    <n v="4"/>
    <n v="6"/>
    <n v="3"/>
    <n v="3"/>
    <n v="4"/>
    <n v="5"/>
    <n v="75"/>
    <n v="11"/>
    <n v="2"/>
    <n v="0"/>
    <n v="4"/>
    <n v="1"/>
    <n v="0"/>
    <n v="0"/>
    <n v="-3"/>
  </r>
  <r>
    <x v="30"/>
    <n v="30"/>
    <n v="1"/>
    <n v="9"/>
    <n v="6"/>
    <n v="5"/>
    <n v="3"/>
    <n v="5"/>
    <n v="6"/>
    <n v="4"/>
    <n v="6"/>
    <n v="6"/>
    <n v="5"/>
    <n v="4"/>
    <n v="6"/>
    <n v="4"/>
    <n v="5"/>
    <n v="8"/>
    <n v="3"/>
    <n v="6"/>
    <n v="6"/>
    <n v="97"/>
    <n v="4"/>
    <n v="0"/>
    <n v="0"/>
    <n v="6"/>
    <n v="6"/>
    <n v="0"/>
    <n v="2"/>
    <n v="-4"/>
  </r>
  <r>
    <x v="5"/>
    <n v="28"/>
    <n v="1"/>
    <n v="6"/>
    <n v="7"/>
    <n v="6"/>
    <n v="5"/>
    <n v="5"/>
    <n v="5"/>
    <n v="4"/>
    <n v="5"/>
    <n v="6"/>
    <n v="7"/>
    <n v="5"/>
    <n v="5"/>
    <n v="4"/>
    <n v="6"/>
    <n v="5"/>
    <n v="4"/>
    <n v="4"/>
    <n v="6"/>
    <n v="95"/>
    <n v="3"/>
    <n v="0"/>
    <n v="0"/>
    <n v="8"/>
    <n v="5"/>
    <n v="2"/>
    <n v="0"/>
    <n v="-4"/>
  </r>
  <r>
    <x v="29"/>
    <n v="18"/>
    <n v="1"/>
    <n v="6"/>
    <n v="6"/>
    <n v="4"/>
    <n v="4"/>
    <n v="3"/>
    <n v="4"/>
    <n v="4"/>
    <n v="5"/>
    <n v="5"/>
    <n v="5"/>
    <n v="3"/>
    <n v="4"/>
    <n v="4"/>
    <n v="6"/>
    <n v="8"/>
    <n v="4"/>
    <n v="4"/>
    <n v="6"/>
    <n v="85"/>
    <n v="5"/>
    <n v="2"/>
    <n v="0"/>
    <n v="8"/>
    <n v="2"/>
    <n v="0"/>
    <n v="1"/>
    <n v="-4"/>
  </r>
  <r>
    <x v="31"/>
    <n v="8"/>
    <n v="1"/>
    <n v="5"/>
    <n v="4"/>
    <n v="5"/>
    <n v="4"/>
    <n v="3"/>
    <n v="4"/>
    <n v="3"/>
    <n v="4"/>
    <n v="5"/>
    <n v="4"/>
    <n v="3"/>
    <n v="5"/>
    <n v="3"/>
    <n v="6"/>
    <n v="4"/>
    <n v="4"/>
    <n v="4"/>
    <n v="5"/>
    <n v="75"/>
    <n v="8"/>
    <n v="3"/>
    <n v="0"/>
    <n v="7"/>
    <n v="0"/>
    <n v="0"/>
    <n v="0"/>
    <n v="-4"/>
  </r>
  <r>
    <x v="19"/>
    <n v="40"/>
    <n v="2"/>
    <n v="7"/>
    <n v="7"/>
    <n v="6"/>
    <n v="5"/>
    <n v="6"/>
    <n v="6"/>
    <n v="4"/>
    <n v="4"/>
    <n v="7"/>
    <n v="8"/>
    <n v="3"/>
    <n v="6"/>
    <n v="6"/>
    <n v="7"/>
    <n v="7"/>
    <n v="3"/>
    <n v="7"/>
    <n v="7"/>
    <n v="106"/>
    <n v="3"/>
    <n v="0"/>
    <n v="0"/>
    <n v="2"/>
    <n v="7"/>
    <n v="5"/>
    <n v="1"/>
    <n v="-5"/>
  </r>
  <r>
    <x v="12"/>
    <n v="26"/>
    <n v="2"/>
    <n v="6"/>
    <n v="7"/>
    <n v="5"/>
    <n v="4"/>
    <n v="5"/>
    <n v="4"/>
    <n v="5"/>
    <n v="6"/>
    <n v="6"/>
    <n v="6"/>
    <n v="6"/>
    <n v="3"/>
    <n v="5"/>
    <n v="5"/>
    <n v="5"/>
    <n v="3"/>
    <n v="5"/>
    <n v="6"/>
    <n v="92"/>
    <n v="2"/>
    <n v="2"/>
    <n v="0"/>
    <n v="7"/>
    <n v="5"/>
    <n v="2"/>
    <n v="0"/>
    <n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n v="7"/>
    <n v="2"/>
    <n v="5"/>
    <n v="6"/>
    <n v="4"/>
    <n v="3"/>
    <n v="4"/>
    <n v="4"/>
    <n v="4"/>
    <n v="4"/>
    <n v="5"/>
    <n v="4"/>
    <n v="3"/>
    <n v="4"/>
    <n v="4"/>
    <n v="6"/>
    <n v="3"/>
    <n v="3"/>
    <n v="4"/>
    <n v="5"/>
    <n v="75"/>
    <n v="-3"/>
    <x v="0"/>
    <n v="11"/>
  </r>
  <r>
    <x v="0"/>
    <n v="7"/>
    <n v="2"/>
    <n v="5"/>
    <n v="6"/>
    <n v="4"/>
    <n v="3"/>
    <n v="4"/>
    <n v="4"/>
    <n v="4"/>
    <n v="4"/>
    <n v="5"/>
    <n v="4"/>
    <n v="3"/>
    <n v="4"/>
    <n v="4"/>
    <n v="6"/>
    <n v="3"/>
    <n v="3"/>
    <n v="4"/>
    <n v="5"/>
    <n v="75"/>
    <n v="-3"/>
    <x v="1"/>
    <n v="2"/>
  </r>
  <r>
    <x v="0"/>
    <n v="7"/>
    <n v="2"/>
    <n v="5"/>
    <n v="6"/>
    <n v="4"/>
    <n v="3"/>
    <n v="4"/>
    <n v="4"/>
    <n v="4"/>
    <n v="4"/>
    <n v="5"/>
    <n v="4"/>
    <n v="3"/>
    <n v="4"/>
    <n v="4"/>
    <n v="6"/>
    <n v="3"/>
    <n v="3"/>
    <n v="4"/>
    <n v="5"/>
    <n v="75"/>
    <n v="-3"/>
    <x v="2"/>
    <n v="0"/>
  </r>
  <r>
    <x v="0"/>
    <n v="7"/>
    <n v="2"/>
    <n v="5"/>
    <n v="6"/>
    <n v="4"/>
    <n v="3"/>
    <n v="4"/>
    <n v="4"/>
    <n v="4"/>
    <n v="4"/>
    <n v="5"/>
    <n v="4"/>
    <n v="3"/>
    <n v="4"/>
    <n v="4"/>
    <n v="6"/>
    <n v="3"/>
    <n v="3"/>
    <n v="4"/>
    <n v="5"/>
    <n v="75"/>
    <n v="-3"/>
    <x v="3"/>
    <n v="4"/>
  </r>
  <r>
    <x v="0"/>
    <n v="7"/>
    <n v="2"/>
    <n v="5"/>
    <n v="6"/>
    <n v="4"/>
    <n v="3"/>
    <n v="4"/>
    <n v="4"/>
    <n v="4"/>
    <n v="4"/>
    <n v="5"/>
    <n v="4"/>
    <n v="3"/>
    <n v="4"/>
    <n v="4"/>
    <n v="6"/>
    <n v="3"/>
    <n v="3"/>
    <n v="4"/>
    <n v="5"/>
    <n v="75"/>
    <n v="-3"/>
    <x v="4"/>
    <n v="1"/>
  </r>
  <r>
    <x v="0"/>
    <n v="7"/>
    <n v="2"/>
    <n v="5"/>
    <n v="6"/>
    <n v="4"/>
    <n v="3"/>
    <n v="4"/>
    <n v="4"/>
    <n v="4"/>
    <n v="4"/>
    <n v="5"/>
    <n v="4"/>
    <n v="3"/>
    <n v="4"/>
    <n v="4"/>
    <n v="6"/>
    <n v="3"/>
    <n v="3"/>
    <n v="4"/>
    <n v="5"/>
    <n v="75"/>
    <n v="-3"/>
    <x v="5"/>
    <n v="0"/>
  </r>
  <r>
    <x v="0"/>
    <n v="7"/>
    <n v="2"/>
    <n v="5"/>
    <n v="6"/>
    <n v="4"/>
    <n v="3"/>
    <n v="4"/>
    <n v="4"/>
    <n v="4"/>
    <n v="4"/>
    <n v="5"/>
    <n v="4"/>
    <n v="3"/>
    <n v="4"/>
    <n v="4"/>
    <n v="6"/>
    <n v="3"/>
    <n v="3"/>
    <n v="4"/>
    <n v="5"/>
    <n v="75"/>
    <n v="-3"/>
    <x v="6"/>
    <n v="0"/>
  </r>
  <r>
    <x v="1"/>
    <n v="8"/>
    <n v="1"/>
    <n v="5"/>
    <n v="4"/>
    <n v="5"/>
    <n v="4"/>
    <n v="3"/>
    <n v="4"/>
    <n v="3"/>
    <n v="4"/>
    <n v="5"/>
    <n v="4"/>
    <n v="3"/>
    <n v="5"/>
    <n v="3"/>
    <n v="6"/>
    <n v="4"/>
    <n v="4"/>
    <n v="4"/>
    <n v="5"/>
    <n v="75"/>
    <n v="-4"/>
    <x v="0"/>
    <n v="8"/>
  </r>
  <r>
    <x v="1"/>
    <n v="8"/>
    <n v="1"/>
    <n v="5"/>
    <n v="4"/>
    <n v="5"/>
    <n v="4"/>
    <n v="3"/>
    <n v="4"/>
    <n v="3"/>
    <n v="4"/>
    <n v="5"/>
    <n v="4"/>
    <n v="3"/>
    <n v="5"/>
    <n v="3"/>
    <n v="6"/>
    <n v="4"/>
    <n v="4"/>
    <n v="4"/>
    <n v="5"/>
    <n v="75"/>
    <n v="-4"/>
    <x v="1"/>
    <n v="3"/>
  </r>
  <r>
    <x v="1"/>
    <n v="8"/>
    <n v="1"/>
    <n v="5"/>
    <n v="4"/>
    <n v="5"/>
    <n v="4"/>
    <n v="3"/>
    <n v="4"/>
    <n v="3"/>
    <n v="4"/>
    <n v="5"/>
    <n v="4"/>
    <n v="3"/>
    <n v="5"/>
    <n v="3"/>
    <n v="6"/>
    <n v="4"/>
    <n v="4"/>
    <n v="4"/>
    <n v="5"/>
    <n v="75"/>
    <n v="-4"/>
    <x v="2"/>
    <n v="0"/>
  </r>
  <r>
    <x v="1"/>
    <n v="8"/>
    <n v="1"/>
    <n v="5"/>
    <n v="4"/>
    <n v="5"/>
    <n v="4"/>
    <n v="3"/>
    <n v="4"/>
    <n v="3"/>
    <n v="4"/>
    <n v="5"/>
    <n v="4"/>
    <n v="3"/>
    <n v="5"/>
    <n v="3"/>
    <n v="6"/>
    <n v="4"/>
    <n v="4"/>
    <n v="4"/>
    <n v="5"/>
    <n v="75"/>
    <n v="-4"/>
    <x v="3"/>
    <n v="7"/>
  </r>
  <r>
    <x v="1"/>
    <n v="8"/>
    <n v="1"/>
    <n v="5"/>
    <n v="4"/>
    <n v="5"/>
    <n v="4"/>
    <n v="3"/>
    <n v="4"/>
    <n v="3"/>
    <n v="4"/>
    <n v="5"/>
    <n v="4"/>
    <n v="3"/>
    <n v="5"/>
    <n v="3"/>
    <n v="6"/>
    <n v="4"/>
    <n v="4"/>
    <n v="4"/>
    <n v="5"/>
    <n v="75"/>
    <n v="-4"/>
    <x v="4"/>
    <n v="0"/>
  </r>
  <r>
    <x v="1"/>
    <n v="8"/>
    <n v="1"/>
    <n v="5"/>
    <n v="4"/>
    <n v="5"/>
    <n v="4"/>
    <n v="3"/>
    <n v="4"/>
    <n v="3"/>
    <n v="4"/>
    <n v="5"/>
    <n v="4"/>
    <n v="3"/>
    <n v="5"/>
    <n v="3"/>
    <n v="6"/>
    <n v="4"/>
    <n v="4"/>
    <n v="4"/>
    <n v="5"/>
    <n v="75"/>
    <n v="-4"/>
    <x v="5"/>
    <n v="0"/>
  </r>
  <r>
    <x v="1"/>
    <n v="8"/>
    <n v="1"/>
    <n v="5"/>
    <n v="4"/>
    <n v="5"/>
    <n v="4"/>
    <n v="3"/>
    <n v="4"/>
    <n v="3"/>
    <n v="4"/>
    <n v="5"/>
    <n v="4"/>
    <n v="3"/>
    <n v="5"/>
    <n v="3"/>
    <n v="6"/>
    <n v="4"/>
    <n v="4"/>
    <n v="4"/>
    <n v="5"/>
    <n v="75"/>
    <n v="-4"/>
    <x v="6"/>
    <n v="0"/>
  </r>
  <r>
    <x v="2"/>
    <n v="6"/>
    <n v="1"/>
    <n v="5"/>
    <n v="4"/>
    <n v="5"/>
    <n v="4"/>
    <n v="4"/>
    <n v="5"/>
    <n v="3"/>
    <n v="4"/>
    <n v="5"/>
    <n v="7"/>
    <n v="3"/>
    <n v="4"/>
    <n v="4"/>
    <n v="4"/>
    <n v="4"/>
    <n v="4"/>
    <n v="4"/>
    <n v="4"/>
    <n v="77"/>
    <n v="0"/>
    <x v="0"/>
    <n v="12"/>
  </r>
  <r>
    <x v="2"/>
    <n v="6"/>
    <n v="1"/>
    <n v="5"/>
    <n v="4"/>
    <n v="5"/>
    <n v="4"/>
    <n v="4"/>
    <n v="5"/>
    <n v="3"/>
    <n v="4"/>
    <n v="5"/>
    <n v="7"/>
    <n v="3"/>
    <n v="4"/>
    <n v="4"/>
    <n v="4"/>
    <n v="4"/>
    <n v="4"/>
    <n v="4"/>
    <n v="4"/>
    <n v="77"/>
    <n v="0"/>
    <x v="1"/>
    <n v="1"/>
  </r>
  <r>
    <x v="2"/>
    <n v="6"/>
    <n v="1"/>
    <n v="5"/>
    <n v="4"/>
    <n v="5"/>
    <n v="4"/>
    <n v="4"/>
    <n v="5"/>
    <n v="3"/>
    <n v="4"/>
    <n v="5"/>
    <n v="7"/>
    <n v="3"/>
    <n v="4"/>
    <n v="4"/>
    <n v="4"/>
    <n v="4"/>
    <n v="4"/>
    <n v="4"/>
    <n v="4"/>
    <n v="77"/>
    <n v="0"/>
    <x v="2"/>
    <n v="0"/>
  </r>
  <r>
    <x v="2"/>
    <n v="6"/>
    <n v="1"/>
    <n v="5"/>
    <n v="4"/>
    <n v="5"/>
    <n v="4"/>
    <n v="4"/>
    <n v="5"/>
    <n v="3"/>
    <n v="4"/>
    <n v="5"/>
    <n v="7"/>
    <n v="3"/>
    <n v="4"/>
    <n v="4"/>
    <n v="4"/>
    <n v="4"/>
    <n v="4"/>
    <n v="4"/>
    <n v="4"/>
    <n v="77"/>
    <n v="0"/>
    <x v="3"/>
    <n v="4"/>
  </r>
  <r>
    <x v="2"/>
    <n v="6"/>
    <n v="1"/>
    <n v="5"/>
    <n v="4"/>
    <n v="5"/>
    <n v="4"/>
    <n v="4"/>
    <n v="5"/>
    <n v="3"/>
    <n v="4"/>
    <n v="5"/>
    <n v="7"/>
    <n v="3"/>
    <n v="4"/>
    <n v="4"/>
    <n v="4"/>
    <n v="4"/>
    <n v="4"/>
    <n v="4"/>
    <n v="4"/>
    <n v="77"/>
    <n v="0"/>
    <x v="4"/>
    <n v="0"/>
  </r>
  <r>
    <x v="2"/>
    <n v="6"/>
    <n v="1"/>
    <n v="5"/>
    <n v="4"/>
    <n v="5"/>
    <n v="4"/>
    <n v="4"/>
    <n v="5"/>
    <n v="3"/>
    <n v="4"/>
    <n v="5"/>
    <n v="7"/>
    <n v="3"/>
    <n v="4"/>
    <n v="4"/>
    <n v="4"/>
    <n v="4"/>
    <n v="4"/>
    <n v="4"/>
    <n v="4"/>
    <n v="77"/>
    <n v="0"/>
    <x v="5"/>
    <n v="1"/>
  </r>
  <r>
    <x v="2"/>
    <n v="6"/>
    <n v="1"/>
    <n v="5"/>
    <n v="4"/>
    <n v="5"/>
    <n v="4"/>
    <n v="4"/>
    <n v="5"/>
    <n v="3"/>
    <n v="4"/>
    <n v="5"/>
    <n v="7"/>
    <n v="3"/>
    <n v="4"/>
    <n v="4"/>
    <n v="4"/>
    <n v="4"/>
    <n v="4"/>
    <n v="4"/>
    <n v="4"/>
    <n v="77"/>
    <n v="0"/>
    <x v="6"/>
    <n v="0"/>
  </r>
  <r>
    <x v="0"/>
    <n v="7"/>
    <n v="1"/>
    <n v="5"/>
    <n v="4"/>
    <n v="4"/>
    <n v="3"/>
    <n v="4"/>
    <n v="7"/>
    <n v="4"/>
    <n v="3"/>
    <n v="4"/>
    <n v="6"/>
    <n v="3"/>
    <n v="4"/>
    <n v="5"/>
    <n v="4"/>
    <n v="4"/>
    <n v="3"/>
    <n v="5"/>
    <n v="5"/>
    <n v="77"/>
    <n v="-1"/>
    <x v="0"/>
    <n v="10"/>
  </r>
  <r>
    <x v="0"/>
    <n v="7"/>
    <n v="1"/>
    <n v="5"/>
    <n v="4"/>
    <n v="4"/>
    <n v="3"/>
    <n v="4"/>
    <n v="7"/>
    <n v="4"/>
    <n v="3"/>
    <n v="4"/>
    <n v="6"/>
    <n v="3"/>
    <n v="4"/>
    <n v="5"/>
    <n v="4"/>
    <n v="4"/>
    <n v="3"/>
    <n v="5"/>
    <n v="5"/>
    <n v="77"/>
    <n v="-1"/>
    <x v="1"/>
    <n v="2"/>
  </r>
  <r>
    <x v="0"/>
    <n v="7"/>
    <n v="1"/>
    <n v="5"/>
    <n v="4"/>
    <n v="4"/>
    <n v="3"/>
    <n v="4"/>
    <n v="7"/>
    <n v="4"/>
    <n v="3"/>
    <n v="4"/>
    <n v="6"/>
    <n v="3"/>
    <n v="4"/>
    <n v="5"/>
    <n v="4"/>
    <n v="4"/>
    <n v="3"/>
    <n v="5"/>
    <n v="5"/>
    <n v="77"/>
    <n v="-1"/>
    <x v="2"/>
    <n v="0"/>
  </r>
  <r>
    <x v="0"/>
    <n v="7"/>
    <n v="1"/>
    <n v="5"/>
    <n v="4"/>
    <n v="4"/>
    <n v="3"/>
    <n v="4"/>
    <n v="7"/>
    <n v="4"/>
    <n v="3"/>
    <n v="4"/>
    <n v="6"/>
    <n v="3"/>
    <n v="4"/>
    <n v="5"/>
    <n v="4"/>
    <n v="4"/>
    <n v="3"/>
    <n v="5"/>
    <n v="5"/>
    <n v="77"/>
    <n v="-1"/>
    <x v="3"/>
    <n v="4"/>
  </r>
  <r>
    <x v="0"/>
    <n v="7"/>
    <n v="1"/>
    <n v="5"/>
    <n v="4"/>
    <n v="4"/>
    <n v="3"/>
    <n v="4"/>
    <n v="7"/>
    <n v="4"/>
    <n v="3"/>
    <n v="4"/>
    <n v="6"/>
    <n v="3"/>
    <n v="4"/>
    <n v="5"/>
    <n v="4"/>
    <n v="4"/>
    <n v="3"/>
    <n v="5"/>
    <n v="5"/>
    <n v="77"/>
    <n v="-1"/>
    <x v="4"/>
    <n v="2"/>
  </r>
  <r>
    <x v="0"/>
    <n v="7"/>
    <n v="1"/>
    <n v="5"/>
    <n v="4"/>
    <n v="4"/>
    <n v="3"/>
    <n v="4"/>
    <n v="7"/>
    <n v="4"/>
    <n v="3"/>
    <n v="4"/>
    <n v="6"/>
    <n v="3"/>
    <n v="4"/>
    <n v="5"/>
    <n v="4"/>
    <n v="4"/>
    <n v="3"/>
    <n v="5"/>
    <n v="5"/>
    <n v="77"/>
    <n v="-1"/>
    <x v="5"/>
    <n v="0"/>
  </r>
  <r>
    <x v="0"/>
    <n v="7"/>
    <n v="1"/>
    <n v="5"/>
    <n v="4"/>
    <n v="4"/>
    <n v="3"/>
    <n v="4"/>
    <n v="7"/>
    <n v="4"/>
    <n v="3"/>
    <n v="4"/>
    <n v="6"/>
    <n v="3"/>
    <n v="4"/>
    <n v="5"/>
    <n v="4"/>
    <n v="4"/>
    <n v="3"/>
    <n v="5"/>
    <n v="5"/>
    <n v="77"/>
    <n v="-1"/>
    <x v="6"/>
    <n v="0"/>
  </r>
  <r>
    <x v="3"/>
    <n v="6"/>
    <n v="1"/>
    <n v="6"/>
    <n v="4"/>
    <n v="5"/>
    <n v="3"/>
    <n v="4"/>
    <n v="5"/>
    <n v="4"/>
    <n v="4"/>
    <n v="4"/>
    <n v="5"/>
    <n v="6"/>
    <n v="3"/>
    <n v="5"/>
    <n v="4"/>
    <n v="5"/>
    <n v="4"/>
    <n v="3"/>
    <n v="4"/>
    <n v="78"/>
    <n v="1"/>
    <x v="0"/>
    <n v="7"/>
  </r>
  <r>
    <x v="3"/>
    <n v="6"/>
    <n v="1"/>
    <n v="6"/>
    <n v="4"/>
    <n v="5"/>
    <n v="3"/>
    <n v="4"/>
    <n v="5"/>
    <n v="4"/>
    <n v="4"/>
    <n v="4"/>
    <n v="5"/>
    <n v="6"/>
    <n v="3"/>
    <n v="5"/>
    <n v="4"/>
    <n v="5"/>
    <n v="4"/>
    <n v="3"/>
    <n v="4"/>
    <n v="78"/>
    <n v="1"/>
    <x v="1"/>
    <n v="3"/>
  </r>
  <r>
    <x v="3"/>
    <n v="6"/>
    <n v="1"/>
    <n v="6"/>
    <n v="4"/>
    <n v="5"/>
    <n v="3"/>
    <n v="4"/>
    <n v="5"/>
    <n v="4"/>
    <n v="4"/>
    <n v="4"/>
    <n v="5"/>
    <n v="6"/>
    <n v="3"/>
    <n v="5"/>
    <n v="4"/>
    <n v="5"/>
    <n v="4"/>
    <n v="3"/>
    <n v="4"/>
    <n v="78"/>
    <n v="1"/>
    <x v="2"/>
    <n v="0"/>
  </r>
  <r>
    <x v="3"/>
    <n v="6"/>
    <n v="1"/>
    <n v="6"/>
    <n v="4"/>
    <n v="5"/>
    <n v="3"/>
    <n v="4"/>
    <n v="5"/>
    <n v="4"/>
    <n v="4"/>
    <n v="4"/>
    <n v="5"/>
    <n v="6"/>
    <n v="3"/>
    <n v="5"/>
    <n v="4"/>
    <n v="5"/>
    <n v="4"/>
    <n v="3"/>
    <n v="4"/>
    <n v="78"/>
    <n v="1"/>
    <x v="3"/>
    <n v="7"/>
  </r>
  <r>
    <x v="3"/>
    <n v="6"/>
    <n v="1"/>
    <n v="6"/>
    <n v="4"/>
    <n v="5"/>
    <n v="3"/>
    <n v="4"/>
    <n v="5"/>
    <n v="4"/>
    <n v="4"/>
    <n v="4"/>
    <n v="5"/>
    <n v="6"/>
    <n v="3"/>
    <n v="5"/>
    <n v="4"/>
    <n v="5"/>
    <n v="4"/>
    <n v="3"/>
    <n v="4"/>
    <n v="78"/>
    <n v="1"/>
    <x v="4"/>
    <n v="0"/>
  </r>
  <r>
    <x v="3"/>
    <n v="6"/>
    <n v="1"/>
    <n v="6"/>
    <n v="4"/>
    <n v="5"/>
    <n v="3"/>
    <n v="4"/>
    <n v="5"/>
    <n v="4"/>
    <n v="4"/>
    <n v="4"/>
    <n v="5"/>
    <n v="6"/>
    <n v="3"/>
    <n v="5"/>
    <n v="4"/>
    <n v="5"/>
    <n v="4"/>
    <n v="3"/>
    <n v="4"/>
    <n v="78"/>
    <n v="1"/>
    <x v="5"/>
    <n v="1"/>
  </r>
  <r>
    <x v="3"/>
    <n v="6"/>
    <n v="1"/>
    <n v="6"/>
    <n v="4"/>
    <n v="5"/>
    <n v="3"/>
    <n v="4"/>
    <n v="5"/>
    <n v="4"/>
    <n v="4"/>
    <n v="4"/>
    <n v="5"/>
    <n v="6"/>
    <n v="3"/>
    <n v="5"/>
    <n v="4"/>
    <n v="5"/>
    <n v="4"/>
    <n v="3"/>
    <n v="4"/>
    <n v="78"/>
    <n v="1"/>
    <x v="6"/>
    <n v="0"/>
  </r>
  <r>
    <x v="3"/>
    <n v="6"/>
    <n v="2"/>
    <n v="5"/>
    <n v="5"/>
    <n v="6"/>
    <n v="4"/>
    <n v="4"/>
    <n v="4"/>
    <n v="4"/>
    <n v="4"/>
    <n v="6"/>
    <n v="4"/>
    <n v="3"/>
    <n v="4"/>
    <n v="4"/>
    <n v="4"/>
    <n v="5"/>
    <n v="4"/>
    <n v="5"/>
    <n v="4"/>
    <n v="79"/>
    <n v="2"/>
    <x v="0"/>
    <n v="8"/>
  </r>
  <r>
    <x v="3"/>
    <n v="6"/>
    <n v="2"/>
    <n v="5"/>
    <n v="5"/>
    <n v="6"/>
    <n v="4"/>
    <n v="4"/>
    <n v="4"/>
    <n v="4"/>
    <n v="4"/>
    <n v="6"/>
    <n v="4"/>
    <n v="3"/>
    <n v="4"/>
    <n v="4"/>
    <n v="4"/>
    <n v="5"/>
    <n v="4"/>
    <n v="5"/>
    <n v="4"/>
    <n v="79"/>
    <n v="2"/>
    <x v="1"/>
    <n v="2"/>
  </r>
  <r>
    <x v="3"/>
    <n v="6"/>
    <n v="2"/>
    <n v="5"/>
    <n v="5"/>
    <n v="6"/>
    <n v="4"/>
    <n v="4"/>
    <n v="4"/>
    <n v="4"/>
    <n v="4"/>
    <n v="6"/>
    <n v="4"/>
    <n v="3"/>
    <n v="4"/>
    <n v="4"/>
    <n v="4"/>
    <n v="5"/>
    <n v="4"/>
    <n v="5"/>
    <n v="4"/>
    <n v="79"/>
    <n v="2"/>
    <x v="2"/>
    <n v="0"/>
  </r>
  <r>
    <x v="3"/>
    <n v="6"/>
    <n v="2"/>
    <n v="5"/>
    <n v="5"/>
    <n v="6"/>
    <n v="4"/>
    <n v="4"/>
    <n v="4"/>
    <n v="4"/>
    <n v="4"/>
    <n v="6"/>
    <n v="4"/>
    <n v="3"/>
    <n v="4"/>
    <n v="4"/>
    <n v="4"/>
    <n v="5"/>
    <n v="4"/>
    <n v="5"/>
    <n v="4"/>
    <n v="79"/>
    <n v="2"/>
    <x v="3"/>
    <n v="6"/>
  </r>
  <r>
    <x v="3"/>
    <n v="6"/>
    <n v="2"/>
    <n v="5"/>
    <n v="5"/>
    <n v="6"/>
    <n v="4"/>
    <n v="4"/>
    <n v="4"/>
    <n v="4"/>
    <n v="4"/>
    <n v="6"/>
    <n v="4"/>
    <n v="3"/>
    <n v="4"/>
    <n v="4"/>
    <n v="4"/>
    <n v="5"/>
    <n v="4"/>
    <n v="5"/>
    <n v="4"/>
    <n v="79"/>
    <n v="2"/>
    <x v="4"/>
    <n v="2"/>
  </r>
  <r>
    <x v="3"/>
    <n v="6"/>
    <n v="2"/>
    <n v="5"/>
    <n v="5"/>
    <n v="6"/>
    <n v="4"/>
    <n v="4"/>
    <n v="4"/>
    <n v="4"/>
    <n v="4"/>
    <n v="6"/>
    <n v="4"/>
    <n v="3"/>
    <n v="4"/>
    <n v="4"/>
    <n v="4"/>
    <n v="5"/>
    <n v="4"/>
    <n v="5"/>
    <n v="4"/>
    <n v="79"/>
    <n v="2"/>
    <x v="5"/>
    <n v="0"/>
  </r>
  <r>
    <x v="3"/>
    <n v="6"/>
    <n v="2"/>
    <n v="5"/>
    <n v="5"/>
    <n v="6"/>
    <n v="4"/>
    <n v="4"/>
    <n v="4"/>
    <n v="4"/>
    <n v="4"/>
    <n v="6"/>
    <n v="4"/>
    <n v="3"/>
    <n v="4"/>
    <n v="4"/>
    <n v="4"/>
    <n v="5"/>
    <n v="4"/>
    <n v="5"/>
    <n v="4"/>
    <n v="79"/>
    <n v="2"/>
    <x v="6"/>
    <n v="0"/>
  </r>
  <r>
    <x v="4"/>
    <n v="6"/>
    <n v="1"/>
    <n v="6"/>
    <n v="3"/>
    <n v="5"/>
    <n v="3"/>
    <n v="5"/>
    <n v="5"/>
    <n v="3"/>
    <n v="4"/>
    <n v="5"/>
    <n v="5"/>
    <n v="3"/>
    <n v="6"/>
    <n v="6"/>
    <n v="6"/>
    <n v="4"/>
    <n v="3"/>
    <n v="3"/>
    <n v="5"/>
    <n v="80"/>
    <n v="3"/>
    <x v="0"/>
    <n v="7"/>
  </r>
  <r>
    <x v="4"/>
    <n v="6"/>
    <n v="1"/>
    <n v="6"/>
    <n v="3"/>
    <n v="5"/>
    <n v="3"/>
    <n v="5"/>
    <n v="5"/>
    <n v="3"/>
    <n v="4"/>
    <n v="5"/>
    <n v="5"/>
    <n v="3"/>
    <n v="6"/>
    <n v="6"/>
    <n v="6"/>
    <n v="4"/>
    <n v="3"/>
    <n v="3"/>
    <n v="5"/>
    <n v="80"/>
    <n v="3"/>
    <x v="1"/>
    <n v="2"/>
  </r>
  <r>
    <x v="4"/>
    <n v="6"/>
    <n v="1"/>
    <n v="6"/>
    <n v="3"/>
    <n v="5"/>
    <n v="3"/>
    <n v="5"/>
    <n v="5"/>
    <n v="3"/>
    <n v="4"/>
    <n v="5"/>
    <n v="5"/>
    <n v="3"/>
    <n v="6"/>
    <n v="6"/>
    <n v="6"/>
    <n v="4"/>
    <n v="3"/>
    <n v="3"/>
    <n v="5"/>
    <n v="80"/>
    <n v="3"/>
    <x v="2"/>
    <n v="0"/>
  </r>
  <r>
    <x v="4"/>
    <n v="6"/>
    <n v="1"/>
    <n v="6"/>
    <n v="3"/>
    <n v="5"/>
    <n v="3"/>
    <n v="5"/>
    <n v="5"/>
    <n v="3"/>
    <n v="4"/>
    <n v="5"/>
    <n v="5"/>
    <n v="3"/>
    <n v="6"/>
    <n v="6"/>
    <n v="6"/>
    <n v="4"/>
    <n v="3"/>
    <n v="3"/>
    <n v="5"/>
    <n v="80"/>
    <n v="3"/>
    <x v="3"/>
    <n v="7"/>
  </r>
  <r>
    <x v="4"/>
    <n v="6"/>
    <n v="1"/>
    <n v="6"/>
    <n v="3"/>
    <n v="5"/>
    <n v="3"/>
    <n v="5"/>
    <n v="5"/>
    <n v="3"/>
    <n v="4"/>
    <n v="5"/>
    <n v="5"/>
    <n v="3"/>
    <n v="6"/>
    <n v="6"/>
    <n v="6"/>
    <n v="4"/>
    <n v="3"/>
    <n v="3"/>
    <n v="5"/>
    <n v="80"/>
    <n v="3"/>
    <x v="4"/>
    <n v="2"/>
  </r>
  <r>
    <x v="4"/>
    <n v="6"/>
    <n v="1"/>
    <n v="6"/>
    <n v="3"/>
    <n v="5"/>
    <n v="3"/>
    <n v="5"/>
    <n v="5"/>
    <n v="3"/>
    <n v="4"/>
    <n v="5"/>
    <n v="5"/>
    <n v="3"/>
    <n v="6"/>
    <n v="6"/>
    <n v="6"/>
    <n v="4"/>
    <n v="3"/>
    <n v="3"/>
    <n v="5"/>
    <n v="80"/>
    <n v="3"/>
    <x v="5"/>
    <n v="0"/>
  </r>
  <r>
    <x v="4"/>
    <n v="6"/>
    <n v="1"/>
    <n v="6"/>
    <n v="3"/>
    <n v="5"/>
    <n v="3"/>
    <n v="5"/>
    <n v="5"/>
    <n v="3"/>
    <n v="4"/>
    <n v="5"/>
    <n v="5"/>
    <n v="3"/>
    <n v="6"/>
    <n v="6"/>
    <n v="6"/>
    <n v="4"/>
    <n v="3"/>
    <n v="3"/>
    <n v="5"/>
    <n v="80"/>
    <n v="3"/>
    <x v="6"/>
    <n v="0"/>
  </r>
  <r>
    <x v="5"/>
    <n v="10"/>
    <n v="1"/>
    <n v="4"/>
    <n v="5"/>
    <n v="4"/>
    <n v="3"/>
    <n v="5"/>
    <n v="5"/>
    <n v="3"/>
    <n v="5"/>
    <n v="4"/>
    <n v="5"/>
    <n v="4"/>
    <n v="4"/>
    <n v="6"/>
    <n v="5"/>
    <n v="5"/>
    <n v="3"/>
    <n v="5"/>
    <n v="5"/>
    <n v="80"/>
    <n v="-1"/>
    <x v="0"/>
    <n v="8"/>
  </r>
  <r>
    <x v="5"/>
    <n v="10"/>
    <n v="1"/>
    <n v="4"/>
    <n v="5"/>
    <n v="4"/>
    <n v="3"/>
    <n v="5"/>
    <n v="5"/>
    <n v="3"/>
    <n v="5"/>
    <n v="4"/>
    <n v="5"/>
    <n v="4"/>
    <n v="4"/>
    <n v="6"/>
    <n v="5"/>
    <n v="5"/>
    <n v="3"/>
    <n v="5"/>
    <n v="5"/>
    <n v="80"/>
    <n v="-1"/>
    <x v="1"/>
    <n v="1"/>
  </r>
  <r>
    <x v="5"/>
    <n v="10"/>
    <n v="1"/>
    <n v="4"/>
    <n v="5"/>
    <n v="4"/>
    <n v="3"/>
    <n v="5"/>
    <n v="5"/>
    <n v="3"/>
    <n v="5"/>
    <n v="4"/>
    <n v="5"/>
    <n v="4"/>
    <n v="4"/>
    <n v="6"/>
    <n v="5"/>
    <n v="5"/>
    <n v="3"/>
    <n v="5"/>
    <n v="5"/>
    <n v="80"/>
    <n v="-1"/>
    <x v="2"/>
    <n v="0"/>
  </r>
  <r>
    <x v="5"/>
    <n v="10"/>
    <n v="1"/>
    <n v="4"/>
    <n v="5"/>
    <n v="4"/>
    <n v="3"/>
    <n v="5"/>
    <n v="5"/>
    <n v="3"/>
    <n v="5"/>
    <n v="4"/>
    <n v="5"/>
    <n v="4"/>
    <n v="4"/>
    <n v="6"/>
    <n v="5"/>
    <n v="5"/>
    <n v="3"/>
    <n v="5"/>
    <n v="5"/>
    <n v="80"/>
    <n v="-1"/>
    <x v="3"/>
    <n v="8"/>
  </r>
  <r>
    <x v="5"/>
    <n v="10"/>
    <n v="1"/>
    <n v="4"/>
    <n v="5"/>
    <n v="4"/>
    <n v="3"/>
    <n v="5"/>
    <n v="5"/>
    <n v="3"/>
    <n v="5"/>
    <n v="4"/>
    <n v="5"/>
    <n v="4"/>
    <n v="4"/>
    <n v="6"/>
    <n v="5"/>
    <n v="5"/>
    <n v="3"/>
    <n v="5"/>
    <n v="5"/>
    <n v="80"/>
    <n v="-1"/>
    <x v="4"/>
    <n v="1"/>
  </r>
  <r>
    <x v="5"/>
    <n v="10"/>
    <n v="1"/>
    <n v="4"/>
    <n v="5"/>
    <n v="4"/>
    <n v="3"/>
    <n v="5"/>
    <n v="5"/>
    <n v="3"/>
    <n v="5"/>
    <n v="4"/>
    <n v="5"/>
    <n v="4"/>
    <n v="4"/>
    <n v="6"/>
    <n v="5"/>
    <n v="5"/>
    <n v="3"/>
    <n v="5"/>
    <n v="5"/>
    <n v="80"/>
    <n v="-1"/>
    <x v="5"/>
    <n v="0"/>
  </r>
  <r>
    <x v="5"/>
    <n v="10"/>
    <n v="1"/>
    <n v="4"/>
    <n v="5"/>
    <n v="4"/>
    <n v="3"/>
    <n v="5"/>
    <n v="5"/>
    <n v="3"/>
    <n v="5"/>
    <n v="4"/>
    <n v="5"/>
    <n v="4"/>
    <n v="4"/>
    <n v="6"/>
    <n v="5"/>
    <n v="5"/>
    <n v="3"/>
    <n v="5"/>
    <n v="5"/>
    <n v="80"/>
    <n v="-1"/>
    <x v="6"/>
    <n v="0"/>
  </r>
  <r>
    <x v="6"/>
    <n v="14"/>
    <n v="1"/>
    <n v="6"/>
    <n v="4"/>
    <n v="4"/>
    <n v="4"/>
    <n v="5"/>
    <n v="5"/>
    <n v="4"/>
    <n v="4"/>
    <n v="6"/>
    <n v="5"/>
    <n v="4"/>
    <n v="4"/>
    <n v="5"/>
    <n v="5"/>
    <n v="5"/>
    <n v="3"/>
    <n v="4"/>
    <n v="5"/>
    <n v="82"/>
    <n v="-3"/>
    <x v="0"/>
    <n v="8"/>
  </r>
  <r>
    <x v="6"/>
    <n v="14"/>
    <n v="1"/>
    <n v="6"/>
    <n v="4"/>
    <n v="4"/>
    <n v="4"/>
    <n v="5"/>
    <n v="5"/>
    <n v="4"/>
    <n v="4"/>
    <n v="6"/>
    <n v="5"/>
    <n v="4"/>
    <n v="4"/>
    <n v="5"/>
    <n v="5"/>
    <n v="5"/>
    <n v="3"/>
    <n v="4"/>
    <n v="5"/>
    <n v="82"/>
    <n v="-3"/>
    <x v="1"/>
    <n v="0"/>
  </r>
  <r>
    <x v="6"/>
    <n v="14"/>
    <n v="1"/>
    <n v="6"/>
    <n v="4"/>
    <n v="4"/>
    <n v="4"/>
    <n v="5"/>
    <n v="5"/>
    <n v="4"/>
    <n v="4"/>
    <n v="6"/>
    <n v="5"/>
    <n v="4"/>
    <n v="4"/>
    <n v="5"/>
    <n v="5"/>
    <n v="5"/>
    <n v="3"/>
    <n v="4"/>
    <n v="5"/>
    <n v="82"/>
    <n v="-3"/>
    <x v="2"/>
    <n v="0"/>
  </r>
  <r>
    <x v="6"/>
    <n v="14"/>
    <n v="1"/>
    <n v="6"/>
    <n v="4"/>
    <n v="4"/>
    <n v="4"/>
    <n v="5"/>
    <n v="5"/>
    <n v="4"/>
    <n v="4"/>
    <n v="6"/>
    <n v="5"/>
    <n v="4"/>
    <n v="4"/>
    <n v="5"/>
    <n v="5"/>
    <n v="5"/>
    <n v="3"/>
    <n v="4"/>
    <n v="5"/>
    <n v="82"/>
    <n v="-3"/>
    <x v="3"/>
    <n v="9"/>
  </r>
  <r>
    <x v="6"/>
    <n v="14"/>
    <n v="1"/>
    <n v="6"/>
    <n v="4"/>
    <n v="4"/>
    <n v="4"/>
    <n v="5"/>
    <n v="5"/>
    <n v="4"/>
    <n v="4"/>
    <n v="6"/>
    <n v="5"/>
    <n v="4"/>
    <n v="4"/>
    <n v="5"/>
    <n v="5"/>
    <n v="5"/>
    <n v="3"/>
    <n v="4"/>
    <n v="5"/>
    <n v="82"/>
    <n v="-3"/>
    <x v="4"/>
    <n v="1"/>
  </r>
  <r>
    <x v="6"/>
    <n v="14"/>
    <n v="1"/>
    <n v="6"/>
    <n v="4"/>
    <n v="4"/>
    <n v="4"/>
    <n v="5"/>
    <n v="5"/>
    <n v="4"/>
    <n v="4"/>
    <n v="6"/>
    <n v="5"/>
    <n v="4"/>
    <n v="4"/>
    <n v="5"/>
    <n v="5"/>
    <n v="5"/>
    <n v="3"/>
    <n v="4"/>
    <n v="5"/>
    <n v="82"/>
    <n v="-3"/>
    <x v="5"/>
    <n v="0"/>
  </r>
  <r>
    <x v="6"/>
    <n v="14"/>
    <n v="1"/>
    <n v="6"/>
    <n v="4"/>
    <n v="4"/>
    <n v="4"/>
    <n v="5"/>
    <n v="5"/>
    <n v="4"/>
    <n v="4"/>
    <n v="6"/>
    <n v="5"/>
    <n v="4"/>
    <n v="4"/>
    <n v="5"/>
    <n v="5"/>
    <n v="5"/>
    <n v="3"/>
    <n v="4"/>
    <n v="5"/>
    <n v="82"/>
    <n v="-3"/>
    <x v="6"/>
    <n v="0"/>
  </r>
  <r>
    <x v="7"/>
    <n v="14"/>
    <n v="2"/>
    <n v="6"/>
    <n v="5"/>
    <n v="5"/>
    <n v="3"/>
    <n v="5"/>
    <n v="7"/>
    <n v="5"/>
    <n v="4"/>
    <n v="4"/>
    <n v="4"/>
    <n v="4"/>
    <n v="4"/>
    <n v="6"/>
    <n v="5"/>
    <n v="3"/>
    <n v="3"/>
    <n v="4"/>
    <n v="5"/>
    <n v="82"/>
    <n v="-3"/>
    <x v="0"/>
    <n v="8"/>
  </r>
  <r>
    <x v="7"/>
    <n v="14"/>
    <n v="2"/>
    <n v="6"/>
    <n v="5"/>
    <n v="5"/>
    <n v="3"/>
    <n v="5"/>
    <n v="7"/>
    <n v="5"/>
    <n v="4"/>
    <n v="4"/>
    <n v="4"/>
    <n v="4"/>
    <n v="4"/>
    <n v="6"/>
    <n v="5"/>
    <n v="3"/>
    <n v="3"/>
    <n v="4"/>
    <n v="5"/>
    <n v="82"/>
    <n v="-3"/>
    <x v="1"/>
    <n v="1"/>
  </r>
  <r>
    <x v="7"/>
    <n v="14"/>
    <n v="2"/>
    <n v="6"/>
    <n v="5"/>
    <n v="5"/>
    <n v="3"/>
    <n v="5"/>
    <n v="7"/>
    <n v="5"/>
    <n v="4"/>
    <n v="4"/>
    <n v="4"/>
    <n v="4"/>
    <n v="4"/>
    <n v="6"/>
    <n v="5"/>
    <n v="3"/>
    <n v="3"/>
    <n v="4"/>
    <n v="5"/>
    <n v="82"/>
    <n v="-3"/>
    <x v="2"/>
    <n v="0"/>
  </r>
  <r>
    <x v="7"/>
    <n v="14"/>
    <n v="2"/>
    <n v="6"/>
    <n v="5"/>
    <n v="5"/>
    <n v="3"/>
    <n v="5"/>
    <n v="7"/>
    <n v="5"/>
    <n v="4"/>
    <n v="4"/>
    <n v="4"/>
    <n v="4"/>
    <n v="4"/>
    <n v="6"/>
    <n v="5"/>
    <n v="3"/>
    <n v="3"/>
    <n v="4"/>
    <n v="5"/>
    <n v="82"/>
    <n v="-3"/>
    <x v="3"/>
    <n v="6"/>
  </r>
  <r>
    <x v="7"/>
    <n v="14"/>
    <n v="2"/>
    <n v="6"/>
    <n v="5"/>
    <n v="5"/>
    <n v="3"/>
    <n v="5"/>
    <n v="7"/>
    <n v="5"/>
    <n v="4"/>
    <n v="4"/>
    <n v="4"/>
    <n v="4"/>
    <n v="4"/>
    <n v="6"/>
    <n v="5"/>
    <n v="3"/>
    <n v="3"/>
    <n v="4"/>
    <n v="5"/>
    <n v="82"/>
    <n v="-3"/>
    <x v="4"/>
    <n v="3"/>
  </r>
  <r>
    <x v="7"/>
    <n v="14"/>
    <n v="2"/>
    <n v="6"/>
    <n v="5"/>
    <n v="5"/>
    <n v="3"/>
    <n v="5"/>
    <n v="7"/>
    <n v="5"/>
    <n v="4"/>
    <n v="4"/>
    <n v="4"/>
    <n v="4"/>
    <n v="4"/>
    <n v="6"/>
    <n v="5"/>
    <n v="3"/>
    <n v="3"/>
    <n v="4"/>
    <n v="5"/>
    <n v="82"/>
    <n v="-3"/>
    <x v="5"/>
    <n v="0"/>
  </r>
  <r>
    <x v="7"/>
    <n v="14"/>
    <n v="2"/>
    <n v="6"/>
    <n v="5"/>
    <n v="5"/>
    <n v="3"/>
    <n v="5"/>
    <n v="7"/>
    <n v="5"/>
    <n v="4"/>
    <n v="4"/>
    <n v="4"/>
    <n v="4"/>
    <n v="4"/>
    <n v="6"/>
    <n v="5"/>
    <n v="3"/>
    <n v="3"/>
    <n v="4"/>
    <n v="5"/>
    <n v="82"/>
    <n v="-3"/>
    <x v="6"/>
    <n v="0"/>
  </r>
  <r>
    <x v="8"/>
    <n v="15"/>
    <n v="2"/>
    <n v="5"/>
    <n v="4"/>
    <n v="4"/>
    <n v="6"/>
    <n v="6"/>
    <n v="5"/>
    <n v="3"/>
    <n v="4"/>
    <n v="5"/>
    <n v="7"/>
    <n v="3"/>
    <n v="4"/>
    <n v="5"/>
    <n v="5"/>
    <n v="5"/>
    <n v="3"/>
    <n v="4"/>
    <n v="5"/>
    <n v="83"/>
    <n v="-3"/>
    <x v="0"/>
    <n v="11"/>
  </r>
  <r>
    <x v="8"/>
    <n v="15"/>
    <n v="2"/>
    <n v="5"/>
    <n v="4"/>
    <n v="4"/>
    <n v="6"/>
    <n v="6"/>
    <n v="5"/>
    <n v="3"/>
    <n v="4"/>
    <n v="5"/>
    <n v="7"/>
    <n v="3"/>
    <n v="4"/>
    <n v="5"/>
    <n v="5"/>
    <n v="5"/>
    <n v="3"/>
    <n v="4"/>
    <n v="5"/>
    <n v="83"/>
    <n v="-3"/>
    <x v="1"/>
    <n v="0"/>
  </r>
  <r>
    <x v="8"/>
    <n v="15"/>
    <n v="2"/>
    <n v="5"/>
    <n v="4"/>
    <n v="4"/>
    <n v="6"/>
    <n v="6"/>
    <n v="5"/>
    <n v="3"/>
    <n v="4"/>
    <n v="5"/>
    <n v="7"/>
    <n v="3"/>
    <n v="4"/>
    <n v="5"/>
    <n v="5"/>
    <n v="5"/>
    <n v="3"/>
    <n v="4"/>
    <n v="5"/>
    <n v="83"/>
    <n v="-3"/>
    <x v="2"/>
    <n v="0"/>
  </r>
  <r>
    <x v="8"/>
    <n v="15"/>
    <n v="2"/>
    <n v="5"/>
    <n v="4"/>
    <n v="4"/>
    <n v="6"/>
    <n v="6"/>
    <n v="5"/>
    <n v="3"/>
    <n v="4"/>
    <n v="5"/>
    <n v="7"/>
    <n v="3"/>
    <n v="4"/>
    <n v="5"/>
    <n v="5"/>
    <n v="5"/>
    <n v="3"/>
    <n v="4"/>
    <n v="5"/>
    <n v="83"/>
    <n v="-3"/>
    <x v="3"/>
    <n v="4"/>
  </r>
  <r>
    <x v="8"/>
    <n v="15"/>
    <n v="2"/>
    <n v="5"/>
    <n v="4"/>
    <n v="4"/>
    <n v="6"/>
    <n v="6"/>
    <n v="5"/>
    <n v="3"/>
    <n v="4"/>
    <n v="5"/>
    <n v="7"/>
    <n v="3"/>
    <n v="4"/>
    <n v="5"/>
    <n v="5"/>
    <n v="5"/>
    <n v="3"/>
    <n v="4"/>
    <n v="5"/>
    <n v="83"/>
    <n v="-3"/>
    <x v="4"/>
    <n v="1"/>
  </r>
  <r>
    <x v="8"/>
    <n v="15"/>
    <n v="2"/>
    <n v="5"/>
    <n v="4"/>
    <n v="4"/>
    <n v="6"/>
    <n v="6"/>
    <n v="5"/>
    <n v="3"/>
    <n v="4"/>
    <n v="5"/>
    <n v="7"/>
    <n v="3"/>
    <n v="4"/>
    <n v="5"/>
    <n v="5"/>
    <n v="5"/>
    <n v="3"/>
    <n v="4"/>
    <n v="5"/>
    <n v="83"/>
    <n v="-3"/>
    <x v="5"/>
    <n v="2"/>
  </r>
  <r>
    <x v="8"/>
    <n v="15"/>
    <n v="2"/>
    <n v="5"/>
    <n v="4"/>
    <n v="4"/>
    <n v="6"/>
    <n v="6"/>
    <n v="5"/>
    <n v="3"/>
    <n v="4"/>
    <n v="5"/>
    <n v="7"/>
    <n v="3"/>
    <n v="4"/>
    <n v="5"/>
    <n v="5"/>
    <n v="5"/>
    <n v="3"/>
    <n v="4"/>
    <n v="5"/>
    <n v="83"/>
    <n v="-3"/>
    <x v="6"/>
    <n v="0"/>
  </r>
  <r>
    <x v="9"/>
    <n v="12"/>
    <n v="2"/>
    <n v="7"/>
    <n v="4"/>
    <n v="4"/>
    <n v="3"/>
    <n v="4"/>
    <n v="4"/>
    <n v="5"/>
    <n v="3"/>
    <n v="5"/>
    <n v="5"/>
    <n v="3"/>
    <n v="5"/>
    <n v="6"/>
    <n v="5"/>
    <n v="5"/>
    <n v="3"/>
    <n v="7"/>
    <n v="6"/>
    <n v="84"/>
    <n v="1"/>
    <x v="0"/>
    <n v="7"/>
  </r>
  <r>
    <x v="9"/>
    <n v="12"/>
    <n v="2"/>
    <n v="7"/>
    <n v="4"/>
    <n v="4"/>
    <n v="3"/>
    <n v="4"/>
    <n v="4"/>
    <n v="5"/>
    <n v="3"/>
    <n v="5"/>
    <n v="5"/>
    <n v="3"/>
    <n v="5"/>
    <n v="6"/>
    <n v="5"/>
    <n v="5"/>
    <n v="3"/>
    <n v="7"/>
    <n v="6"/>
    <n v="84"/>
    <n v="1"/>
    <x v="1"/>
    <n v="2"/>
  </r>
  <r>
    <x v="9"/>
    <n v="12"/>
    <n v="2"/>
    <n v="7"/>
    <n v="4"/>
    <n v="4"/>
    <n v="3"/>
    <n v="4"/>
    <n v="4"/>
    <n v="5"/>
    <n v="3"/>
    <n v="5"/>
    <n v="5"/>
    <n v="3"/>
    <n v="5"/>
    <n v="6"/>
    <n v="5"/>
    <n v="5"/>
    <n v="3"/>
    <n v="7"/>
    <n v="6"/>
    <n v="84"/>
    <n v="1"/>
    <x v="2"/>
    <n v="0"/>
  </r>
  <r>
    <x v="9"/>
    <n v="12"/>
    <n v="2"/>
    <n v="7"/>
    <n v="4"/>
    <n v="4"/>
    <n v="3"/>
    <n v="4"/>
    <n v="4"/>
    <n v="5"/>
    <n v="3"/>
    <n v="5"/>
    <n v="5"/>
    <n v="3"/>
    <n v="5"/>
    <n v="6"/>
    <n v="5"/>
    <n v="5"/>
    <n v="3"/>
    <n v="7"/>
    <n v="6"/>
    <n v="84"/>
    <n v="1"/>
    <x v="3"/>
    <n v="4"/>
  </r>
  <r>
    <x v="9"/>
    <n v="12"/>
    <n v="2"/>
    <n v="7"/>
    <n v="4"/>
    <n v="4"/>
    <n v="3"/>
    <n v="4"/>
    <n v="4"/>
    <n v="5"/>
    <n v="3"/>
    <n v="5"/>
    <n v="5"/>
    <n v="3"/>
    <n v="5"/>
    <n v="6"/>
    <n v="5"/>
    <n v="5"/>
    <n v="3"/>
    <n v="7"/>
    <n v="6"/>
    <n v="84"/>
    <n v="1"/>
    <x v="4"/>
    <n v="4"/>
  </r>
  <r>
    <x v="9"/>
    <n v="12"/>
    <n v="2"/>
    <n v="7"/>
    <n v="4"/>
    <n v="4"/>
    <n v="3"/>
    <n v="4"/>
    <n v="4"/>
    <n v="5"/>
    <n v="3"/>
    <n v="5"/>
    <n v="5"/>
    <n v="3"/>
    <n v="5"/>
    <n v="6"/>
    <n v="5"/>
    <n v="5"/>
    <n v="3"/>
    <n v="7"/>
    <n v="6"/>
    <n v="84"/>
    <n v="1"/>
    <x v="5"/>
    <n v="1"/>
  </r>
  <r>
    <x v="9"/>
    <n v="12"/>
    <n v="2"/>
    <n v="7"/>
    <n v="4"/>
    <n v="4"/>
    <n v="3"/>
    <n v="4"/>
    <n v="4"/>
    <n v="5"/>
    <n v="3"/>
    <n v="5"/>
    <n v="5"/>
    <n v="3"/>
    <n v="5"/>
    <n v="6"/>
    <n v="5"/>
    <n v="5"/>
    <n v="3"/>
    <n v="7"/>
    <n v="6"/>
    <n v="84"/>
    <n v="1"/>
    <x v="6"/>
    <n v="0"/>
  </r>
  <r>
    <x v="10"/>
    <n v="16"/>
    <n v="1"/>
    <n v="6"/>
    <n v="5"/>
    <n v="4"/>
    <n v="4"/>
    <n v="4"/>
    <n v="5"/>
    <n v="6"/>
    <n v="4"/>
    <n v="6"/>
    <n v="6"/>
    <n v="4"/>
    <n v="3"/>
    <n v="4"/>
    <n v="5"/>
    <n v="4"/>
    <n v="2"/>
    <n v="5"/>
    <n v="8"/>
    <n v="85"/>
    <n v="-2"/>
    <x v="0"/>
    <n v="7"/>
  </r>
  <r>
    <x v="10"/>
    <n v="16"/>
    <n v="1"/>
    <n v="6"/>
    <n v="5"/>
    <n v="4"/>
    <n v="4"/>
    <n v="4"/>
    <n v="5"/>
    <n v="6"/>
    <n v="4"/>
    <n v="6"/>
    <n v="6"/>
    <n v="4"/>
    <n v="3"/>
    <n v="4"/>
    <n v="5"/>
    <n v="4"/>
    <n v="2"/>
    <n v="5"/>
    <n v="8"/>
    <n v="85"/>
    <n v="-2"/>
    <x v="1"/>
    <n v="2"/>
  </r>
  <r>
    <x v="10"/>
    <n v="16"/>
    <n v="1"/>
    <n v="6"/>
    <n v="5"/>
    <n v="4"/>
    <n v="4"/>
    <n v="4"/>
    <n v="5"/>
    <n v="6"/>
    <n v="4"/>
    <n v="6"/>
    <n v="6"/>
    <n v="4"/>
    <n v="3"/>
    <n v="4"/>
    <n v="5"/>
    <n v="4"/>
    <n v="2"/>
    <n v="5"/>
    <n v="8"/>
    <n v="85"/>
    <n v="-2"/>
    <x v="2"/>
    <n v="0"/>
  </r>
  <r>
    <x v="10"/>
    <n v="16"/>
    <n v="1"/>
    <n v="6"/>
    <n v="5"/>
    <n v="4"/>
    <n v="4"/>
    <n v="4"/>
    <n v="5"/>
    <n v="6"/>
    <n v="4"/>
    <n v="6"/>
    <n v="6"/>
    <n v="4"/>
    <n v="3"/>
    <n v="4"/>
    <n v="5"/>
    <n v="4"/>
    <n v="2"/>
    <n v="5"/>
    <n v="8"/>
    <n v="85"/>
    <n v="-2"/>
    <x v="3"/>
    <n v="5"/>
  </r>
  <r>
    <x v="10"/>
    <n v="16"/>
    <n v="1"/>
    <n v="6"/>
    <n v="5"/>
    <n v="4"/>
    <n v="4"/>
    <n v="4"/>
    <n v="5"/>
    <n v="6"/>
    <n v="4"/>
    <n v="6"/>
    <n v="6"/>
    <n v="4"/>
    <n v="3"/>
    <n v="4"/>
    <n v="5"/>
    <n v="4"/>
    <n v="2"/>
    <n v="5"/>
    <n v="8"/>
    <n v="85"/>
    <n v="-2"/>
    <x v="4"/>
    <n v="2"/>
  </r>
  <r>
    <x v="10"/>
    <n v="16"/>
    <n v="1"/>
    <n v="6"/>
    <n v="5"/>
    <n v="4"/>
    <n v="4"/>
    <n v="4"/>
    <n v="5"/>
    <n v="6"/>
    <n v="4"/>
    <n v="6"/>
    <n v="6"/>
    <n v="4"/>
    <n v="3"/>
    <n v="4"/>
    <n v="5"/>
    <n v="4"/>
    <n v="2"/>
    <n v="5"/>
    <n v="8"/>
    <n v="85"/>
    <n v="-2"/>
    <x v="5"/>
    <n v="1"/>
  </r>
  <r>
    <x v="10"/>
    <n v="16"/>
    <n v="1"/>
    <n v="6"/>
    <n v="5"/>
    <n v="4"/>
    <n v="4"/>
    <n v="4"/>
    <n v="5"/>
    <n v="6"/>
    <n v="4"/>
    <n v="6"/>
    <n v="6"/>
    <n v="4"/>
    <n v="3"/>
    <n v="4"/>
    <n v="5"/>
    <n v="4"/>
    <n v="2"/>
    <n v="5"/>
    <n v="8"/>
    <n v="85"/>
    <n v="-2"/>
    <x v="6"/>
    <n v="1"/>
  </r>
  <r>
    <x v="11"/>
    <n v="18"/>
    <n v="1"/>
    <n v="6"/>
    <n v="6"/>
    <n v="4"/>
    <n v="4"/>
    <n v="3"/>
    <n v="4"/>
    <n v="4"/>
    <n v="5"/>
    <n v="5"/>
    <n v="5"/>
    <n v="3"/>
    <n v="4"/>
    <n v="4"/>
    <n v="6"/>
    <n v="8"/>
    <n v="4"/>
    <n v="4"/>
    <n v="6"/>
    <n v="85"/>
    <n v="-4"/>
    <x v="0"/>
    <n v="5"/>
  </r>
  <r>
    <x v="11"/>
    <n v="18"/>
    <n v="1"/>
    <n v="6"/>
    <n v="6"/>
    <n v="4"/>
    <n v="4"/>
    <n v="3"/>
    <n v="4"/>
    <n v="4"/>
    <n v="5"/>
    <n v="5"/>
    <n v="5"/>
    <n v="3"/>
    <n v="4"/>
    <n v="4"/>
    <n v="6"/>
    <n v="8"/>
    <n v="4"/>
    <n v="4"/>
    <n v="6"/>
    <n v="85"/>
    <n v="-4"/>
    <x v="1"/>
    <n v="2"/>
  </r>
  <r>
    <x v="11"/>
    <n v="18"/>
    <n v="1"/>
    <n v="6"/>
    <n v="6"/>
    <n v="4"/>
    <n v="4"/>
    <n v="3"/>
    <n v="4"/>
    <n v="4"/>
    <n v="5"/>
    <n v="5"/>
    <n v="5"/>
    <n v="3"/>
    <n v="4"/>
    <n v="4"/>
    <n v="6"/>
    <n v="8"/>
    <n v="4"/>
    <n v="4"/>
    <n v="6"/>
    <n v="85"/>
    <n v="-4"/>
    <x v="2"/>
    <n v="0"/>
  </r>
  <r>
    <x v="11"/>
    <n v="18"/>
    <n v="1"/>
    <n v="6"/>
    <n v="6"/>
    <n v="4"/>
    <n v="4"/>
    <n v="3"/>
    <n v="4"/>
    <n v="4"/>
    <n v="5"/>
    <n v="5"/>
    <n v="5"/>
    <n v="3"/>
    <n v="4"/>
    <n v="4"/>
    <n v="6"/>
    <n v="8"/>
    <n v="4"/>
    <n v="4"/>
    <n v="6"/>
    <n v="85"/>
    <n v="-4"/>
    <x v="3"/>
    <n v="8"/>
  </r>
  <r>
    <x v="11"/>
    <n v="18"/>
    <n v="1"/>
    <n v="6"/>
    <n v="6"/>
    <n v="4"/>
    <n v="4"/>
    <n v="3"/>
    <n v="4"/>
    <n v="4"/>
    <n v="5"/>
    <n v="5"/>
    <n v="5"/>
    <n v="3"/>
    <n v="4"/>
    <n v="4"/>
    <n v="6"/>
    <n v="8"/>
    <n v="4"/>
    <n v="4"/>
    <n v="6"/>
    <n v="85"/>
    <n v="-4"/>
    <x v="4"/>
    <n v="2"/>
  </r>
  <r>
    <x v="11"/>
    <n v="18"/>
    <n v="1"/>
    <n v="6"/>
    <n v="6"/>
    <n v="4"/>
    <n v="4"/>
    <n v="3"/>
    <n v="4"/>
    <n v="4"/>
    <n v="5"/>
    <n v="5"/>
    <n v="5"/>
    <n v="3"/>
    <n v="4"/>
    <n v="4"/>
    <n v="6"/>
    <n v="8"/>
    <n v="4"/>
    <n v="4"/>
    <n v="6"/>
    <n v="85"/>
    <n v="-4"/>
    <x v="5"/>
    <n v="0"/>
  </r>
  <r>
    <x v="11"/>
    <n v="18"/>
    <n v="1"/>
    <n v="6"/>
    <n v="6"/>
    <n v="4"/>
    <n v="4"/>
    <n v="3"/>
    <n v="4"/>
    <n v="4"/>
    <n v="5"/>
    <n v="5"/>
    <n v="5"/>
    <n v="3"/>
    <n v="4"/>
    <n v="4"/>
    <n v="6"/>
    <n v="8"/>
    <n v="4"/>
    <n v="4"/>
    <n v="6"/>
    <n v="85"/>
    <n v="-4"/>
    <x v="6"/>
    <n v="1"/>
  </r>
  <r>
    <x v="12"/>
    <n v="14"/>
    <n v="1"/>
    <n v="5"/>
    <n v="6"/>
    <n v="5"/>
    <n v="4"/>
    <n v="4"/>
    <n v="4"/>
    <n v="4"/>
    <n v="6"/>
    <n v="5"/>
    <n v="5"/>
    <n v="5"/>
    <n v="6"/>
    <n v="6"/>
    <n v="4"/>
    <n v="4"/>
    <n v="4"/>
    <n v="4"/>
    <n v="5"/>
    <n v="86"/>
    <n v="1"/>
    <x v="0"/>
    <n v="4"/>
  </r>
  <r>
    <x v="12"/>
    <n v="14"/>
    <n v="1"/>
    <n v="5"/>
    <n v="6"/>
    <n v="5"/>
    <n v="4"/>
    <n v="4"/>
    <n v="4"/>
    <n v="4"/>
    <n v="6"/>
    <n v="5"/>
    <n v="5"/>
    <n v="5"/>
    <n v="6"/>
    <n v="6"/>
    <n v="4"/>
    <n v="4"/>
    <n v="4"/>
    <n v="4"/>
    <n v="5"/>
    <n v="86"/>
    <n v="1"/>
    <x v="1"/>
    <n v="2"/>
  </r>
  <r>
    <x v="12"/>
    <n v="14"/>
    <n v="1"/>
    <n v="5"/>
    <n v="6"/>
    <n v="5"/>
    <n v="4"/>
    <n v="4"/>
    <n v="4"/>
    <n v="4"/>
    <n v="6"/>
    <n v="5"/>
    <n v="5"/>
    <n v="5"/>
    <n v="6"/>
    <n v="6"/>
    <n v="4"/>
    <n v="4"/>
    <n v="4"/>
    <n v="4"/>
    <n v="5"/>
    <n v="86"/>
    <n v="1"/>
    <x v="2"/>
    <n v="0"/>
  </r>
  <r>
    <x v="12"/>
    <n v="14"/>
    <n v="1"/>
    <n v="5"/>
    <n v="6"/>
    <n v="5"/>
    <n v="4"/>
    <n v="4"/>
    <n v="4"/>
    <n v="4"/>
    <n v="6"/>
    <n v="5"/>
    <n v="5"/>
    <n v="5"/>
    <n v="6"/>
    <n v="6"/>
    <n v="4"/>
    <n v="4"/>
    <n v="4"/>
    <n v="4"/>
    <n v="5"/>
    <n v="86"/>
    <n v="1"/>
    <x v="3"/>
    <n v="7"/>
  </r>
  <r>
    <x v="12"/>
    <n v="14"/>
    <n v="1"/>
    <n v="5"/>
    <n v="6"/>
    <n v="5"/>
    <n v="4"/>
    <n v="4"/>
    <n v="4"/>
    <n v="4"/>
    <n v="6"/>
    <n v="5"/>
    <n v="5"/>
    <n v="5"/>
    <n v="6"/>
    <n v="6"/>
    <n v="4"/>
    <n v="4"/>
    <n v="4"/>
    <n v="4"/>
    <n v="5"/>
    <n v="86"/>
    <n v="1"/>
    <x v="4"/>
    <n v="5"/>
  </r>
  <r>
    <x v="12"/>
    <n v="14"/>
    <n v="1"/>
    <n v="5"/>
    <n v="6"/>
    <n v="5"/>
    <n v="4"/>
    <n v="4"/>
    <n v="4"/>
    <n v="4"/>
    <n v="6"/>
    <n v="5"/>
    <n v="5"/>
    <n v="5"/>
    <n v="6"/>
    <n v="6"/>
    <n v="4"/>
    <n v="4"/>
    <n v="4"/>
    <n v="4"/>
    <n v="5"/>
    <n v="86"/>
    <n v="1"/>
    <x v="5"/>
    <n v="0"/>
  </r>
  <r>
    <x v="12"/>
    <n v="14"/>
    <n v="1"/>
    <n v="5"/>
    <n v="6"/>
    <n v="5"/>
    <n v="4"/>
    <n v="4"/>
    <n v="4"/>
    <n v="4"/>
    <n v="6"/>
    <n v="5"/>
    <n v="5"/>
    <n v="5"/>
    <n v="6"/>
    <n v="6"/>
    <n v="4"/>
    <n v="4"/>
    <n v="4"/>
    <n v="4"/>
    <n v="5"/>
    <n v="86"/>
    <n v="1"/>
    <x v="6"/>
    <n v="0"/>
  </r>
  <r>
    <x v="7"/>
    <n v="14"/>
    <n v="1"/>
    <n v="5"/>
    <n v="4"/>
    <n v="3"/>
    <n v="4"/>
    <n v="6"/>
    <n v="5"/>
    <n v="4"/>
    <n v="5"/>
    <n v="5"/>
    <n v="6"/>
    <n v="4"/>
    <n v="6"/>
    <n v="5"/>
    <n v="6"/>
    <n v="4"/>
    <n v="3"/>
    <n v="6"/>
    <n v="5"/>
    <n v="86"/>
    <n v="1"/>
    <x v="0"/>
    <n v="5"/>
  </r>
  <r>
    <x v="7"/>
    <n v="14"/>
    <n v="1"/>
    <n v="5"/>
    <n v="4"/>
    <n v="3"/>
    <n v="4"/>
    <n v="6"/>
    <n v="5"/>
    <n v="4"/>
    <n v="5"/>
    <n v="5"/>
    <n v="6"/>
    <n v="4"/>
    <n v="6"/>
    <n v="5"/>
    <n v="6"/>
    <n v="4"/>
    <n v="3"/>
    <n v="6"/>
    <n v="5"/>
    <n v="86"/>
    <n v="1"/>
    <x v="1"/>
    <n v="1"/>
  </r>
  <r>
    <x v="7"/>
    <n v="14"/>
    <n v="1"/>
    <n v="5"/>
    <n v="4"/>
    <n v="3"/>
    <n v="4"/>
    <n v="6"/>
    <n v="5"/>
    <n v="4"/>
    <n v="5"/>
    <n v="5"/>
    <n v="6"/>
    <n v="4"/>
    <n v="6"/>
    <n v="5"/>
    <n v="6"/>
    <n v="4"/>
    <n v="3"/>
    <n v="6"/>
    <n v="5"/>
    <n v="86"/>
    <n v="1"/>
    <x v="2"/>
    <n v="0"/>
  </r>
  <r>
    <x v="7"/>
    <n v="14"/>
    <n v="1"/>
    <n v="5"/>
    <n v="4"/>
    <n v="3"/>
    <n v="4"/>
    <n v="6"/>
    <n v="5"/>
    <n v="4"/>
    <n v="5"/>
    <n v="5"/>
    <n v="6"/>
    <n v="4"/>
    <n v="6"/>
    <n v="5"/>
    <n v="6"/>
    <n v="4"/>
    <n v="3"/>
    <n v="6"/>
    <n v="5"/>
    <n v="86"/>
    <n v="1"/>
    <x v="3"/>
    <n v="8"/>
  </r>
  <r>
    <x v="7"/>
    <n v="14"/>
    <n v="1"/>
    <n v="5"/>
    <n v="4"/>
    <n v="3"/>
    <n v="4"/>
    <n v="6"/>
    <n v="5"/>
    <n v="4"/>
    <n v="5"/>
    <n v="5"/>
    <n v="6"/>
    <n v="4"/>
    <n v="6"/>
    <n v="5"/>
    <n v="6"/>
    <n v="4"/>
    <n v="3"/>
    <n v="6"/>
    <n v="5"/>
    <n v="86"/>
    <n v="1"/>
    <x v="4"/>
    <n v="4"/>
  </r>
  <r>
    <x v="7"/>
    <n v="14"/>
    <n v="1"/>
    <n v="5"/>
    <n v="4"/>
    <n v="3"/>
    <n v="4"/>
    <n v="6"/>
    <n v="5"/>
    <n v="4"/>
    <n v="5"/>
    <n v="5"/>
    <n v="6"/>
    <n v="4"/>
    <n v="6"/>
    <n v="5"/>
    <n v="6"/>
    <n v="4"/>
    <n v="3"/>
    <n v="6"/>
    <n v="5"/>
    <n v="86"/>
    <n v="1"/>
    <x v="5"/>
    <n v="0"/>
  </r>
  <r>
    <x v="7"/>
    <n v="14"/>
    <n v="1"/>
    <n v="5"/>
    <n v="4"/>
    <n v="3"/>
    <n v="4"/>
    <n v="6"/>
    <n v="5"/>
    <n v="4"/>
    <n v="5"/>
    <n v="5"/>
    <n v="6"/>
    <n v="4"/>
    <n v="6"/>
    <n v="5"/>
    <n v="6"/>
    <n v="4"/>
    <n v="3"/>
    <n v="6"/>
    <n v="5"/>
    <n v="86"/>
    <n v="1"/>
    <x v="6"/>
    <n v="0"/>
  </r>
  <r>
    <x v="13"/>
    <n v="15"/>
    <n v="2"/>
    <n v="7"/>
    <n v="5"/>
    <n v="3"/>
    <n v="3"/>
    <n v="6"/>
    <n v="5"/>
    <n v="6"/>
    <n v="4"/>
    <n v="4"/>
    <n v="4"/>
    <n v="3"/>
    <n v="4"/>
    <n v="4"/>
    <n v="7"/>
    <n v="5"/>
    <n v="5"/>
    <n v="5"/>
    <n v="6"/>
    <n v="86"/>
    <n v="0"/>
    <x v="0"/>
    <n v="8"/>
  </r>
  <r>
    <x v="13"/>
    <n v="15"/>
    <n v="2"/>
    <n v="7"/>
    <n v="5"/>
    <n v="3"/>
    <n v="3"/>
    <n v="6"/>
    <n v="5"/>
    <n v="6"/>
    <n v="4"/>
    <n v="4"/>
    <n v="4"/>
    <n v="3"/>
    <n v="4"/>
    <n v="4"/>
    <n v="7"/>
    <n v="5"/>
    <n v="5"/>
    <n v="5"/>
    <n v="6"/>
    <n v="86"/>
    <n v="0"/>
    <x v="1"/>
    <n v="1"/>
  </r>
  <r>
    <x v="13"/>
    <n v="15"/>
    <n v="2"/>
    <n v="7"/>
    <n v="5"/>
    <n v="3"/>
    <n v="3"/>
    <n v="6"/>
    <n v="5"/>
    <n v="6"/>
    <n v="4"/>
    <n v="4"/>
    <n v="4"/>
    <n v="3"/>
    <n v="4"/>
    <n v="4"/>
    <n v="7"/>
    <n v="5"/>
    <n v="5"/>
    <n v="5"/>
    <n v="6"/>
    <n v="86"/>
    <n v="0"/>
    <x v="2"/>
    <n v="0"/>
  </r>
  <r>
    <x v="13"/>
    <n v="15"/>
    <n v="2"/>
    <n v="7"/>
    <n v="5"/>
    <n v="3"/>
    <n v="3"/>
    <n v="6"/>
    <n v="5"/>
    <n v="6"/>
    <n v="4"/>
    <n v="4"/>
    <n v="4"/>
    <n v="3"/>
    <n v="4"/>
    <n v="4"/>
    <n v="7"/>
    <n v="5"/>
    <n v="5"/>
    <n v="5"/>
    <n v="6"/>
    <n v="86"/>
    <n v="0"/>
    <x v="3"/>
    <n v="3"/>
  </r>
  <r>
    <x v="13"/>
    <n v="15"/>
    <n v="2"/>
    <n v="7"/>
    <n v="5"/>
    <n v="3"/>
    <n v="3"/>
    <n v="6"/>
    <n v="5"/>
    <n v="6"/>
    <n v="4"/>
    <n v="4"/>
    <n v="4"/>
    <n v="3"/>
    <n v="4"/>
    <n v="4"/>
    <n v="7"/>
    <n v="5"/>
    <n v="5"/>
    <n v="5"/>
    <n v="6"/>
    <n v="86"/>
    <n v="0"/>
    <x v="4"/>
    <n v="5"/>
  </r>
  <r>
    <x v="13"/>
    <n v="15"/>
    <n v="2"/>
    <n v="7"/>
    <n v="5"/>
    <n v="3"/>
    <n v="3"/>
    <n v="6"/>
    <n v="5"/>
    <n v="6"/>
    <n v="4"/>
    <n v="4"/>
    <n v="4"/>
    <n v="3"/>
    <n v="4"/>
    <n v="4"/>
    <n v="7"/>
    <n v="5"/>
    <n v="5"/>
    <n v="5"/>
    <n v="6"/>
    <n v="86"/>
    <n v="0"/>
    <x v="5"/>
    <n v="1"/>
  </r>
  <r>
    <x v="13"/>
    <n v="15"/>
    <n v="2"/>
    <n v="7"/>
    <n v="5"/>
    <n v="3"/>
    <n v="3"/>
    <n v="6"/>
    <n v="5"/>
    <n v="6"/>
    <n v="4"/>
    <n v="4"/>
    <n v="4"/>
    <n v="3"/>
    <n v="4"/>
    <n v="4"/>
    <n v="7"/>
    <n v="5"/>
    <n v="5"/>
    <n v="5"/>
    <n v="6"/>
    <n v="86"/>
    <n v="0"/>
    <x v="6"/>
    <n v="0"/>
  </r>
  <r>
    <x v="14"/>
    <n v="16"/>
    <n v="2"/>
    <n v="5"/>
    <n v="5"/>
    <n v="5"/>
    <n v="3"/>
    <n v="5"/>
    <n v="5"/>
    <n v="5"/>
    <n v="4"/>
    <n v="4"/>
    <n v="7"/>
    <n v="3"/>
    <n v="5"/>
    <n v="5"/>
    <n v="5"/>
    <n v="4"/>
    <n v="3"/>
    <n v="6"/>
    <n v="7"/>
    <n v="86"/>
    <n v="-1"/>
    <x v="0"/>
    <n v="9"/>
  </r>
  <r>
    <x v="14"/>
    <n v="16"/>
    <n v="2"/>
    <n v="5"/>
    <n v="5"/>
    <n v="5"/>
    <n v="3"/>
    <n v="5"/>
    <n v="5"/>
    <n v="5"/>
    <n v="4"/>
    <n v="4"/>
    <n v="7"/>
    <n v="3"/>
    <n v="5"/>
    <n v="5"/>
    <n v="5"/>
    <n v="4"/>
    <n v="3"/>
    <n v="6"/>
    <n v="7"/>
    <n v="86"/>
    <n v="-1"/>
    <x v="1"/>
    <n v="0"/>
  </r>
  <r>
    <x v="14"/>
    <n v="16"/>
    <n v="2"/>
    <n v="5"/>
    <n v="5"/>
    <n v="5"/>
    <n v="3"/>
    <n v="5"/>
    <n v="5"/>
    <n v="5"/>
    <n v="4"/>
    <n v="4"/>
    <n v="7"/>
    <n v="3"/>
    <n v="5"/>
    <n v="5"/>
    <n v="5"/>
    <n v="4"/>
    <n v="3"/>
    <n v="6"/>
    <n v="7"/>
    <n v="86"/>
    <n v="-1"/>
    <x v="2"/>
    <n v="0"/>
  </r>
  <r>
    <x v="14"/>
    <n v="16"/>
    <n v="2"/>
    <n v="5"/>
    <n v="5"/>
    <n v="5"/>
    <n v="3"/>
    <n v="5"/>
    <n v="5"/>
    <n v="5"/>
    <n v="4"/>
    <n v="4"/>
    <n v="7"/>
    <n v="3"/>
    <n v="5"/>
    <n v="5"/>
    <n v="5"/>
    <n v="4"/>
    <n v="3"/>
    <n v="6"/>
    <n v="7"/>
    <n v="86"/>
    <n v="-1"/>
    <x v="3"/>
    <n v="5"/>
  </r>
  <r>
    <x v="14"/>
    <n v="16"/>
    <n v="2"/>
    <n v="5"/>
    <n v="5"/>
    <n v="5"/>
    <n v="3"/>
    <n v="5"/>
    <n v="5"/>
    <n v="5"/>
    <n v="4"/>
    <n v="4"/>
    <n v="7"/>
    <n v="3"/>
    <n v="5"/>
    <n v="5"/>
    <n v="5"/>
    <n v="4"/>
    <n v="3"/>
    <n v="6"/>
    <n v="7"/>
    <n v="86"/>
    <n v="-1"/>
    <x v="4"/>
    <n v="2"/>
  </r>
  <r>
    <x v="14"/>
    <n v="16"/>
    <n v="2"/>
    <n v="5"/>
    <n v="5"/>
    <n v="5"/>
    <n v="3"/>
    <n v="5"/>
    <n v="5"/>
    <n v="5"/>
    <n v="4"/>
    <n v="4"/>
    <n v="7"/>
    <n v="3"/>
    <n v="5"/>
    <n v="5"/>
    <n v="5"/>
    <n v="4"/>
    <n v="3"/>
    <n v="6"/>
    <n v="7"/>
    <n v="86"/>
    <n v="-1"/>
    <x v="5"/>
    <n v="2"/>
  </r>
  <r>
    <x v="14"/>
    <n v="16"/>
    <n v="2"/>
    <n v="5"/>
    <n v="5"/>
    <n v="5"/>
    <n v="3"/>
    <n v="5"/>
    <n v="5"/>
    <n v="5"/>
    <n v="4"/>
    <n v="4"/>
    <n v="7"/>
    <n v="3"/>
    <n v="5"/>
    <n v="5"/>
    <n v="5"/>
    <n v="4"/>
    <n v="3"/>
    <n v="6"/>
    <n v="7"/>
    <n v="86"/>
    <n v="-1"/>
    <x v="6"/>
    <n v="0"/>
  </r>
  <r>
    <x v="15"/>
    <n v="18"/>
    <n v="1"/>
    <n v="7"/>
    <n v="5"/>
    <n v="5"/>
    <n v="3"/>
    <n v="4"/>
    <n v="5"/>
    <n v="4"/>
    <n v="5"/>
    <n v="5"/>
    <n v="5"/>
    <n v="3"/>
    <n v="5"/>
    <n v="5"/>
    <n v="6"/>
    <n v="6"/>
    <n v="4"/>
    <n v="4"/>
    <n v="5"/>
    <n v="86"/>
    <n v="-3"/>
    <x v="0"/>
    <n v="5"/>
  </r>
  <r>
    <x v="15"/>
    <n v="18"/>
    <n v="1"/>
    <n v="7"/>
    <n v="5"/>
    <n v="5"/>
    <n v="3"/>
    <n v="4"/>
    <n v="5"/>
    <n v="4"/>
    <n v="5"/>
    <n v="5"/>
    <n v="5"/>
    <n v="3"/>
    <n v="5"/>
    <n v="5"/>
    <n v="6"/>
    <n v="6"/>
    <n v="4"/>
    <n v="4"/>
    <n v="5"/>
    <n v="86"/>
    <n v="-3"/>
    <x v="1"/>
    <n v="0"/>
  </r>
  <r>
    <x v="15"/>
    <n v="18"/>
    <n v="1"/>
    <n v="7"/>
    <n v="5"/>
    <n v="5"/>
    <n v="3"/>
    <n v="4"/>
    <n v="5"/>
    <n v="4"/>
    <n v="5"/>
    <n v="5"/>
    <n v="5"/>
    <n v="3"/>
    <n v="5"/>
    <n v="5"/>
    <n v="6"/>
    <n v="6"/>
    <n v="4"/>
    <n v="4"/>
    <n v="5"/>
    <n v="86"/>
    <n v="-3"/>
    <x v="2"/>
    <n v="0"/>
  </r>
  <r>
    <x v="15"/>
    <n v="18"/>
    <n v="1"/>
    <n v="7"/>
    <n v="5"/>
    <n v="5"/>
    <n v="3"/>
    <n v="4"/>
    <n v="5"/>
    <n v="4"/>
    <n v="5"/>
    <n v="5"/>
    <n v="5"/>
    <n v="3"/>
    <n v="5"/>
    <n v="5"/>
    <n v="6"/>
    <n v="6"/>
    <n v="4"/>
    <n v="4"/>
    <n v="5"/>
    <n v="86"/>
    <n v="-3"/>
    <x v="3"/>
    <n v="11"/>
  </r>
  <r>
    <x v="15"/>
    <n v="18"/>
    <n v="1"/>
    <n v="7"/>
    <n v="5"/>
    <n v="5"/>
    <n v="3"/>
    <n v="4"/>
    <n v="5"/>
    <n v="4"/>
    <n v="5"/>
    <n v="5"/>
    <n v="5"/>
    <n v="3"/>
    <n v="5"/>
    <n v="5"/>
    <n v="6"/>
    <n v="6"/>
    <n v="4"/>
    <n v="4"/>
    <n v="5"/>
    <n v="86"/>
    <n v="-3"/>
    <x v="4"/>
    <n v="2"/>
  </r>
  <r>
    <x v="15"/>
    <n v="18"/>
    <n v="1"/>
    <n v="7"/>
    <n v="5"/>
    <n v="5"/>
    <n v="3"/>
    <n v="4"/>
    <n v="5"/>
    <n v="4"/>
    <n v="5"/>
    <n v="5"/>
    <n v="5"/>
    <n v="3"/>
    <n v="5"/>
    <n v="5"/>
    <n v="6"/>
    <n v="6"/>
    <n v="4"/>
    <n v="4"/>
    <n v="5"/>
    <n v="86"/>
    <n v="-3"/>
    <x v="5"/>
    <n v="0"/>
  </r>
  <r>
    <x v="15"/>
    <n v="18"/>
    <n v="1"/>
    <n v="7"/>
    <n v="5"/>
    <n v="5"/>
    <n v="3"/>
    <n v="4"/>
    <n v="5"/>
    <n v="4"/>
    <n v="5"/>
    <n v="5"/>
    <n v="5"/>
    <n v="3"/>
    <n v="5"/>
    <n v="5"/>
    <n v="6"/>
    <n v="6"/>
    <n v="4"/>
    <n v="4"/>
    <n v="5"/>
    <n v="86"/>
    <n v="-3"/>
    <x v="6"/>
    <n v="0"/>
  </r>
  <r>
    <x v="16"/>
    <n v="18"/>
    <n v="1"/>
    <n v="5"/>
    <n v="4"/>
    <n v="5"/>
    <n v="4"/>
    <n v="5"/>
    <n v="7"/>
    <n v="4"/>
    <n v="5"/>
    <n v="6"/>
    <n v="4"/>
    <n v="4"/>
    <n v="4"/>
    <n v="4"/>
    <n v="7"/>
    <n v="5"/>
    <n v="4"/>
    <n v="4"/>
    <n v="6"/>
    <n v="87"/>
    <n v="-2"/>
    <x v="0"/>
    <n v="6"/>
  </r>
  <r>
    <x v="16"/>
    <n v="18"/>
    <n v="1"/>
    <n v="5"/>
    <n v="4"/>
    <n v="5"/>
    <n v="4"/>
    <n v="5"/>
    <n v="7"/>
    <n v="4"/>
    <n v="5"/>
    <n v="6"/>
    <n v="4"/>
    <n v="4"/>
    <n v="4"/>
    <n v="4"/>
    <n v="7"/>
    <n v="5"/>
    <n v="4"/>
    <n v="4"/>
    <n v="6"/>
    <n v="87"/>
    <n v="-2"/>
    <x v="1"/>
    <n v="0"/>
  </r>
  <r>
    <x v="16"/>
    <n v="18"/>
    <n v="1"/>
    <n v="5"/>
    <n v="4"/>
    <n v="5"/>
    <n v="4"/>
    <n v="5"/>
    <n v="7"/>
    <n v="4"/>
    <n v="5"/>
    <n v="6"/>
    <n v="4"/>
    <n v="4"/>
    <n v="4"/>
    <n v="4"/>
    <n v="7"/>
    <n v="5"/>
    <n v="4"/>
    <n v="4"/>
    <n v="6"/>
    <n v="87"/>
    <n v="-2"/>
    <x v="2"/>
    <n v="0"/>
  </r>
  <r>
    <x v="16"/>
    <n v="18"/>
    <n v="1"/>
    <n v="5"/>
    <n v="4"/>
    <n v="5"/>
    <n v="4"/>
    <n v="5"/>
    <n v="7"/>
    <n v="4"/>
    <n v="5"/>
    <n v="6"/>
    <n v="4"/>
    <n v="4"/>
    <n v="4"/>
    <n v="4"/>
    <n v="7"/>
    <n v="5"/>
    <n v="4"/>
    <n v="4"/>
    <n v="6"/>
    <n v="87"/>
    <n v="-2"/>
    <x v="3"/>
    <n v="8"/>
  </r>
  <r>
    <x v="16"/>
    <n v="18"/>
    <n v="1"/>
    <n v="5"/>
    <n v="4"/>
    <n v="5"/>
    <n v="4"/>
    <n v="5"/>
    <n v="7"/>
    <n v="4"/>
    <n v="5"/>
    <n v="6"/>
    <n v="4"/>
    <n v="4"/>
    <n v="4"/>
    <n v="4"/>
    <n v="7"/>
    <n v="5"/>
    <n v="4"/>
    <n v="4"/>
    <n v="6"/>
    <n v="87"/>
    <n v="-2"/>
    <x v="4"/>
    <n v="4"/>
  </r>
  <r>
    <x v="16"/>
    <n v="18"/>
    <n v="1"/>
    <n v="5"/>
    <n v="4"/>
    <n v="5"/>
    <n v="4"/>
    <n v="5"/>
    <n v="7"/>
    <n v="4"/>
    <n v="5"/>
    <n v="6"/>
    <n v="4"/>
    <n v="4"/>
    <n v="4"/>
    <n v="4"/>
    <n v="7"/>
    <n v="5"/>
    <n v="4"/>
    <n v="4"/>
    <n v="6"/>
    <n v="87"/>
    <n v="-2"/>
    <x v="5"/>
    <n v="0"/>
  </r>
  <r>
    <x v="16"/>
    <n v="18"/>
    <n v="1"/>
    <n v="5"/>
    <n v="4"/>
    <n v="5"/>
    <n v="4"/>
    <n v="5"/>
    <n v="7"/>
    <n v="4"/>
    <n v="5"/>
    <n v="6"/>
    <n v="4"/>
    <n v="4"/>
    <n v="4"/>
    <n v="4"/>
    <n v="7"/>
    <n v="5"/>
    <n v="4"/>
    <n v="4"/>
    <n v="6"/>
    <n v="87"/>
    <n v="-2"/>
    <x v="6"/>
    <n v="0"/>
  </r>
  <r>
    <x v="11"/>
    <n v="18"/>
    <n v="2"/>
    <n v="6"/>
    <n v="5"/>
    <n v="4"/>
    <n v="4"/>
    <n v="6"/>
    <n v="5"/>
    <n v="5"/>
    <n v="4"/>
    <n v="5"/>
    <n v="4"/>
    <n v="4"/>
    <n v="5"/>
    <n v="4"/>
    <n v="6"/>
    <n v="5"/>
    <n v="4"/>
    <n v="4"/>
    <n v="7"/>
    <n v="87"/>
    <n v="-2"/>
    <x v="0"/>
    <n v="6"/>
  </r>
  <r>
    <x v="11"/>
    <n v="18"/>
    <n v="2"/>
    <n v="6"/>
    <n v="5"/>
    <n v="4"/>
    <n v="4"/>
    <n v="6"/>
    <n v="5"/>
    <n v="5"/>
    <n v="4"/>
    <n v="5"/>
    <n v="4"/>
    <n v="4"/>
    <n v="5"/>
    <n v="4"/>
    <n v="6"/>
    <n v="5"/>
    <n v="4"/>
    <n v="4"/>
    <n v="7"/>
    <n v="87"/>
    <n v="-2"/>
    <x v="1"/>
    <n v="0"/>
  </r>
  <r>
    <x v="11"/>
    <n v="18"/>
    <n v="2"/>
    <n v="6"/>
    <n v="5"/>
    <n v="4"/>
    <n v="4"/>
    <n v="6"/>
    <n v="5"/>
    <n v="5"/>
    <n v="4"/>
    <n v="5"/>
    <n v="4"/>
    <n v="4"/>
    <n v="5"/>
    <n v="4"/>
    <n v="6"/>
    <n v="5"/>
    <n v="4"/>
    <n v="4"/>
    <n v="7"/>
    <n v="87"/>
    <n v="-2"/>
    <x v="2"/>
    <n v="0"/>
  </r>
  <r>
    <x v="11"/>
    <n v="18"/>
    <n v="2"/>
    <n v="6"/>
    <n v="5"/>
    <n v="4"/>
    <n v="4"/>
    <n v="6"/>
    <n v="5"/>
    <n v="5"/>
    <n v="4"/>
    <n v="5"/>
    <n v="4"/>
    <n v="4"/>
    <n v="5"/>
    <n v="4"/>
    <n v="6"/>
    <n v="5"/>
    <n v="4"/>
    <n v="4"/>
    <n v="7"/>
    <n v="87"/>
    <n v="-2"/>
    <x v="3"/>
    <n v="9"/>
  </r>
  <r>
    <x v="11"/>
    <n v="18"/>
    <n v="2"/>
    <n v="6"/>
    <n v="5"/>
    <n v="4"/>
    <n v="4"/>
    <n v="6"/>
    <n v="5"/>
    <n v="5"/>
    <n v="4"/>
    <n v="5"/>
    <n v="4"/>
    <n v="4"/>
    <n v="5"/>
    <n v="4"/>
    <n v="6"/>
    <n v="5"/>
    <n v="4"/>
    <n v="4"/>
    <n v="7"/>
    <n v="87"/>
    <n v="-2"/>
    <x v="4"/>
    <n v="2"/>
  </r>
  <r>
    <x v="11"/>
    <n v="18"/>
    <n v="2"/>
    <n v="6"/>
    <n v="5"/>
    <n v="4"/>
    <n v="4"/>
    <n v="6"/>
    <n v="5"/>
    <n v="5"/>
    <n v="4"/>
    <n v="5"/>
    <n v="4"/>
    <n v="4"/>
    <n v="5"/>
    <n v="4"/>
    <n v="6"/>
    <n v="5"/>
    <n v="4"/>
    <n v="4"/>
    <n v="7"/>
    <n v="87"/>
    <n v="-2"/>
    <x v="5"/>
    <n v="1"/>
  </r>
  <r>
    <x v="11"/>
    <n v="18"/>
    <n v="2"/>
    <n v="6"/>
    <n v="5"/>
    <n v="4"/>
    <n v="4"/>
    <n v="6"/>
    <n v="5"/>
    <n v="5"/>
    <n v="4"/>
    <n v="5"/>
    <n v="4"/>
    <n v="4"/>
    <n v="5"/>
    <n v="4"/>
    <n v="6"/>
    <n v="5"/>
    <n v="4"/>
    <n v="4"/>
    <n v="7"/>
    <n v="87"/>
    <n v="-2"/>
    <x v="6"/>
    <n v="0"/>
  </r>
  <r>
    <x v="17"/>
    <n v="18"/>
    <n v="2"/>
    <n v="6"/>
    <n v="5"/>
    <n v="4"/>
    <n v="3"/>
    <n v="3"/>
    <n v="5"/>
    <n v="5"/>
    <n v="6"/>
    <n v="5"/>
    <n v="6"/>
    <n v="5"/>
    <n v="4"/>
    <n v="5"/>
    <n v="6"/>
    <n v="5"/>
    <n v="4"/>
    <n v="5"/>
    <n v="5"/>
    <n v="87"/>
    <n v="-2"/>
    <x v="0"/>
    <n v="4"/>
  </r>
  <r>
    <x v="17"/>
    <n v="18"/>
    <n v="2"/>
    <n v="6"/>
    <n v="5"/>
    <n v="4"/>
    <n v="3"/>
    <n v="3"/>
    <n v="5"/>
    <n v="5"/>
    <n v="6"/>
    <n v="5"/>
    <n v="6"/>
    <n v="5"/>
    <n v="4"/>
    <n v="5"/>
    <n v="6"/>
    <n v="5"/>
    <n v="4"/>
    <n v="5"/>
    <n v="5"/>
    <n v="87"/>
    <n v="-2"/>
    <x v="1"/>
    <n v="1"/>
  </r>
  <r>
    <x v="17"/>
    <n v="18"/>
    <n v="2"/>
    <n v="6"/>
    <n v="5"/>
    <n v="4"/>
    <n v="3"/>
    <n v="3"/>
    <n v="5"/>
    <n v="5"/>
    <n v="6"/>
    <n v="5"/>
    <n v="6"/>
    <n v="5"/>
    <n v="4"/>
    <n v="5"/>
    <n v="6"/>
    <n v="5"/>
    <n v="4"/>
    <n v="5"/>
    <n v="5"/>
    <n v="87"/>
    <n v="-2"/>
    <x v="2"/>
    <n v="0"/>
  </r>
  <r>
    <x v="17"/>
    <n v="18"/>
    <n v="2"/>
    <n v="6"/>
    <n v="5"/>
    <n v="4"/>
    <n v="3"/>
    <n v="3"/>
    <n v="5"/>
    <n v="5"/>
    <n v="6"/>
    <n v="5"/>
    <n v="6"/>
    <n v="5"/>
    <n v="4"/>
    <n v="5"/>
    <n v="6"/>
    <n v="5"/>
    <n v="4"/>
    <n v="5"/>
    <n v="5"/>
    <n v="87"/>
    <n v="-2"/>
    <x v="3"/>
    <n v="9"/>
  </r>
  <r>
    <x v="17"/>
    <n v="18"/>
    <n v="2"/>
    <n v="6"/>
    <n v="5"/>
    <n v="4"/>
    <n v="3"/>
    <n v="3"/>
    <n v="5"/>
    <n v="5"/>
    <n v="6"/>
    <n v="5"/>
    <n v="6"/>
    <n v="5"/>
    <n v="4"/>
    <n v="5"/>
    <n v="6"/>
    <n v="5"/>
    <n v="4"/>
    <n v="5"/>
    <n v="5"/>
    <n v="87"/>
    <n v="-2"/>
    <x v="4"/>
    <n v="4"/>
  </r>
  <r>
    <x v="17"/>
    <n v="18"/>
    <n v="2"/>
    <n v="6"/>
    <n v="5"/>
    <n v="4"/>
    <n v="3"/>
    <n v="3"/>
    <n v="5"/>
    <n v="5"/>
    <n v="6"/>
    <n v="5"/>
    <n v="6"/>
    <n v="5"/>
    <n v="4"/>
    <n v="5"/>
    <n v="6"/>
    <n v="5"/>
    <n v="4"/>
    <n v="5"/>
    <n v="5"/>
    <n v="87"/>
    <n v="-2"/>
    <x v="5"/>
    <n v="0"/>
  </r>
  <r>
    <x v="17"/>
    <n v="18"/>
    <n v="2"/>
    <n v="6"/>
    <n v="5"/>
    <n v="4"/>
    <n v="3"/>
    <n v="3"/>
    <n v="5"/>
    <n v="5"/>
    <n v="6"/>
    <n v="5"/>
    <n v="6"/>
    <n v="5"/>
    <n v="4"/>
    <n v="5"/>
    <n v="6"/>
    <n v="5"/>
    <n v="4"/>
    <n v="5"/>
    <n v="5"/>
    <n v="87"/>
    <n v="-2"/>
    <x v="6"/>
    <n v="0"/>
  </r>
  <r>
    <x v="12"/>
    <n v="14"/>
    <n v="2"/>
    <n v="5"/>
    <n v="5"/>
    <n v="6"/>
    <n v="4"/>
    <n v="4"/>
    <n v="4"/>
    <n v="5"/>
    <n v="5"/>
    <n v="5"/>
    <n v="6"/>
    <n v="4"/>
    <n v="5"/>
    <n v="5"/>
    <n v="6"/>
    <n v="5"/>
    <n v="3"/>
    <n v="6"/>
    <n v="5"/>
    <n v="88"/>
    <n v="3"/>
    <x v="0"/>
    <n v="3"/>
  </r>
  <r>
    <x v="12"/>
    <n v="14"/>
    <n v="2"/>
    <n v="5"/>
    <n v="5"/>
    <n v="6"/>
    <n v="4"/>
    <n v="4"/>
    <n v="4"/>
    <n v="5"/>
    <n v="5"/>
    <n v="5"/>
    <n v="6"/>
    <n v="4"/>
    <n v="5"/>
    <n v="5"/>
    <n v="6"/>
    <n v="5"/>
    <n v="3"/>
    <n v="6"/>
    <n v="5"/>
    <n v="88"/>
    <n v="3"/>
    <x v="1"/>
    <n v="1"/>
  </r>
  <r>
    <x v="12"/>
    <n v="14"/>
    <n v="2"/>
    <n v="5"/>
    <n v="5"/>
    <n v="6"/>
    <n v="4"/>
    <n v="4"/>
    <n v="4"/>
    <n v="5"/>
    <n v="5"/>
    <n v="5"/>
    <n v="6"/>
    <n v="4"/>
    <n v="5"/>
    <n v="5"/>
    <n v="6"/>
    <n v="5"/>
    <n v="3"/>
    <n v="6"/>
    <n v="5"/>
    <n v="88"/>
    <n v="3"/>
    <x v="2"/>
    <n v="0"/>
  </r>
  <r>
    <x v="12"/>
    <n v="14"/>
    <n v="2"/>
    <n v="5"/>
    <n v="5"/>
    <n v="6"/>
    <n v="4"/>
    <n v="4"/>
    <n v="4"/>
    <n v="5"/>
    <n v="5"/>
    <n v="5"/>
    <n v="6"/>
    <n v="4"/>
    <n v="5"/>
    <n v="5"/>
    <n v="6"/>
    <n v="5"/>
    <n v="3"/>
    <n v="6"/>
    <n v="5"/>
    <n v="88"/>
    <n v="3"/>
    <x v="3"/>
    <n v="10"/>
  </r>
  <r>
    <x v="12"/>
    <n v="14"/>
    <n v="2"/>
    <n v="5"/>
    <n v="5"/>
    <n v="6"/>
    <n v="4"/>
    <n v="4"/>
    <n v="4"/>
    <n v="5"/>
    <n v="5"/>
    <n v="5"/>
    <n v="6"/>
    <n v="4"/>
    <n v="5"/>
    <n v="5"/>
    <n v="6"/>
    <n v="5"/>
    <n v="3"/>
    <n v="6"/>
    <n v="5"/>
    <n v="88"/>
    <n v="3"/>
    <x v="4"/>
    <n v="4"/>
  </r>
  <r>
    <x v="12"/>
    <n v="14"/>
    <n v="2"/>
    <n v="5"/>
    <n v="5"/>
    <n v="6"/>
    <n v="4"/>
    <n v="4"/>
    <n v="4"/>
    <n v="5"/>
    <n v="5"/>
    <n v="5"/>
    <n v="6"/>
    <n v="4"/>
    <n v="5"/>
    <n v="5"/>
    <n v="6"/>
    <n v="5"/>
    <n v="3"/>
    <n v="6"/>
    <n v="5"/>
    <n v="88"/>
    <n v="3"/>
    <x v="5"/>
    <n v="0"/>
  </r>
  <r>
    <x v="12"/>
    <n v="14"/>
    <n v="2"/>
    <n v="5"/>
    <n v="5"/>
    <n v="6"/>
    <n v="4"/>
    <n v="4"/>
    <n v="4"/>
    <n v="5"/>
    <n v="5"/>
    <n v="5"/>
    <n v="6"/>
    <n v="4"/>
    <n v="5"/>
    <n v="5"/>
    <n v="6"/>
    <n v="5"/>
    <n v="3"/>
    <n v="6"/>
    <n v="5"/>
    <n v="88"/>
    <n v="3"/>
    <x v="6"/>
    <n v="0"/>
  </r>
  <r>
    <x v="8"/>
    <n v="15"/>
    <n v="1"/>
    <n v="4"/>
    <n v="4"/>
    <n v="5"/>
    <n v="3"/>
    <n v="6"/>
    <n v="3"/>
    <n v="5"/>
    <n v="5"/>
    <n v="6"/>
    <n v="9"/>
    <n v="3"/>
    <n v="7"/>
    <n v="3"/>
    <n v="5"/>
    <n v="6"/>
    <n v="3"/>
    <n v="5"/>
    <n v="6"/>
    <n v="88"/>
    <n v="2"/>
    <x v="0"/>
    <n v="5"/>
  </r>
  <r>
    <x v="8"/>
    <n v="15"/>
    <n v="1"/>
    <n v="4"/>
    <n v="4"/>
    <n v="5"/>
    <n v="3"/>
    <n v="6"/>
    <n v="3"/>
    <n v="5"/>
    <n v="5"/>
    <n v="6"/>
    <n v="9"/>
    <n v="3"/>
    <n v="7"/>
    <n v="3"/>
    <n v="5"/>
    <n v="6"/>
    <n v="3"/>
    <n v="5"/>
    <n v="6"/>
    <n v="88"/>
    <n v="2"/>
    <x v="1"/>
    <n v="2"/>
  </r>
  <r>
    <x v="8"/>
    <n v="15"/>
    <n v="1"/>
    <n v="4"/>
    <n v="4"/>
    <n v="5"/>
    <n v="3"/>
    <n v="6"/>
    <n v="3"/>
    <n v="5"/>
    <n v="5"/>
    <n v="6"/>
    <n v="9"/>
    <n v="3"/>
    <n v="7"/>
    <n v="3"/>
    <n v="5"/>
    <n v="6"/>
    <n v="3"/>
    <n v="5"/>
    <n v="6"/>
    <n v="88"/>
    <n v="2"/>
    <x v="2"/>
    <n v="1"/>
  </r>
  <r>
    <x v="8"/>
    <n v="15"/>
    <n v="1"/>
    <n v="4"/>
    <n v="4"/>
    <n v="5"/>
    <n v="3"/>
    <n v="6"/>
    <n v="3"/>
    <n v="5"/>
    <n v="5"/>
    <n v="6"/>
    <n v="9"/>
    <n v="3"/>
    <n v="7"/>
    <n v="3"/>
    <n v="5"/>
    <n v="6"/>
    <n v="3"/>
    <n v="5"/>
    <n v="6"/>
    <n v="88"/>
    <n v="2"/>
    <x v="3"/>
    <n v="3"/>
  </r>
  <r>
    <x v="8"/>
    <n v="15"/>
    <n v="1"/>
    <n v="4"/>
    <n v="4"/>
    <n v="5"/>
    <n v="3"/>
    <n v="6"/>
    <n v="3"/>
    <n v="5"/>
    <n v="5"/>
    <n v="6"/>
    <n v="9"/>
    <n v="3"/>
    <n v="7"/>
    <n v="3"/>
    <n v="5"/>
    <n v="6"/>
    <n v="3"/>
    <n v="5"/>
    <n v="6"/>
    <n v="88"/>
    <n v="2"/>
    <x v="4"/>
    <n v="5"/>
  </r>
  <r>
    <x v="8"/>
    <n v="15"/>
    <n v="1"/>
    <n v="4"/>
    <n v="4"/>
    <n v="5"/>
    <n v="3"/>
    <n v="6"/>
    <n v="3"/>
    <n v="5"/>
    <n v="5"/>
    <n v="6"/>
    <n v="9"/>
    <n v="3"/>
    <n v="7"/>
    <n v="3"/>
    <n v="5"/>
    <n v="6"/>
    <n v="3"/>
    <n v="5"/>
    <n v="6"/>
    <n v="88"/>
    <n v="2"/>
    <x v="5"/>
    <n v="1"/>
  </r>
  <r>
    <x v="8"/>
    <n v="15"/>
    <n v="1"/>
    <n v="4"/>
    <n v="4"/>
    <n v="5"/>
    <n v="3"/>
    <n v="6"/>
    <n v="3"/>
    <n v="5"/>
    <n v="5"/>
    <n v="6"/>
    <n v="9"/>
    <n v="3"/>
    <n v="7"/>
    <n v="3"/>
    <n v="5"/>
    <n v="6"/>
    <n v="3"/>
    <n v="5"/>
    <n v="6"/>
    <n v="88"/>
    <n v="2"/>
    <x v="6"/>
    <n v="1"/>
  </r>
  <r>
    <x v="14"/>
    <n v="16"/>
    <n v="1"/>
    <n v="7"/>
    <n v="5"/>
    <n v="5"/>
    <n v="4"/>
    <n v="5"/>
    <n v="3"/>
    <n v="4"/>
    <n v="4"/>
    <n v="6"/>
    <n v="4"/>
    <n v="4"/>
    <n v="8"/>
    <n v="5"/>
    <n v="6"/>
    <n v="5"/>
    <n v="3"/>
    <n v="6"/>
    <n v="4"/>
    <n v="88"/>
    <n v="1"/>
    <x v="0"/>
    <n v="4"/>
  </r>
  <r>
    <x v="14"/>
    <n v="16"/>
    <n v="1"/>
    <n v="7"/>
    <n v="5"/>
    <n v="5"/>
    <n v="4"/>
    <n v="5"/>
    <n v="3"/>
    <n v="4"/>
    <n v="4"/>
    <n v="6"/>
    <n v="4"/>
    <n v="4"/>
    <n v="8"/>
    <n v="5"/>
    <n v="6"/>
    <n v="5"/>
    <n v="3"/>
    <n v="6"/>
    <n v="4"/>
    <n v="88"/>
    <n v="1"/>
    <x v="1"/>
    <n v="0"/>
  </r>
  <r>
    <x v="14"/>
    <n v="16"/>
    <n v="1"/>
    <n v="7"/>
    <n v="5"/>
    <n v="5"/>
    <n v="4"/>
    <n v="5"/>
    <n v="3"/>
    <n v="4"/>
    <n v="4"/>
    <n v="6"/>
    <n v="4"/>
    <n v="4"/>
    <n v="8"/>
    <n v="5"/>
    <n v="6"/>
    <n v="5"/>
    <n v="3"/>
    <n v="6"/>
    <n v="4"/>
    <n v="88"/>
    <n v="1"/>
    <x v="2"/>
    <n v="1"/>
  </r>
  <r>
    <x v="14"/>
    <n v="16"/>
    <n v="1"/>
    <n v="7"/>
    <n v="5"/>
    <n v="5"/>
    <n v="4"/>
    <n v="5"/>
    <n v="3"/>
    <n v="4"/>
    <n v="4"/>
    <n v="6"/>
    <n v="4"/>
    <n v="4"/>
    <n v="8"/>
    <n v="5"/>
    <n v="6"/>
    <n v="5"/>
    <n v="3"/>
    <n v="6"/>
    <n v="4"/>
    <n v="88"/>
    <n v="1"/>
    <x v="3"/>
    <n v="9"/>
  </r>
  <r>
    <x v="14"/>
    <n v="16"/>
    <n v="1"/>
    <n v="7"/>
    <n v="5"/>
    <n v="5"/>
    <n v="4"/>
    <n v="5"/>
    <n v="3"/>
    <n v="4"/>
    <n v="4"/>
    <n v="6"/>
    <n v="4"/>
    <n v="4"/>
    <n v="8"/>
    <n v="5"/>
    <n v="6"/>
    <n v="5"/>
    <n v="3"/>
    <n v="6"/>
    <n v="4"/>
    <n v="88"/>
    <n v="1"/>
    <x v="4"/>
    <n v="3"/>
  </r>
  <r>
    <x v="14"/>
    <n v="16"/>
    <n v="1"/>
    <n v="7"/>
    <n v="5"/>
    <n v="5"/>
    <n v="4"/>
    <n v="5"/>
    <n v="3"/>
    <n v="4"/>
    <n v="4"/>
    <n v="6"/>
    <n v="4"/>
    <n v="4"/>
    <n v="8"/>
    <n v="5"/>
    <n v="6"/>
    <n v="5"/>
    <n v="3"/>
    <n v="6"/>
    <n v="4"/>
    <n v="88"/>
    <n v="1"/>
    <x v="5"/>
    <n v="0"/>
  </r>
  <r>
    <x v="14"/>
    <n v="16"/>
    <n v="1"/>
    <n v="7"/>
    <n v="5"/>
    <n v="5"/>
    <n v="4"/>
    <n v="5"/>
    <n v="3"/>
    <n v="4"/>
    <n v="4"/>
    <n v="6"/>
    <n v="4"/>
    <n v="4"/>
    <n v="8"/>
    <n v="5"/>
    <n v="6"/>
    <n v="5"/>
    <n v="3"/>
    <n v="6"/>
    <n v="4"/>
    <n v="88"/>
    <n v="1"/>
    <x v="6"/>
    <n v="1"/>
  </r>
  <r>
    <x v="16"/>
    <n v="18"/>
    <n v="2"/>
    <n v="7"/>
    <n v="5"/>
    <n v="5"/>
    <n v="5"/>
    <n v="6"/>
    <n v="3"/>
    <n v="7"/>
    <n v="6"/>
    <n v="4"/>
    <n v="6"/>
    <n v="3"/>
    <n v="4"/>
    <n v="5"/>
    <n v="5"/>
    <n v="4"/>
    <n v="3"/>
    <n v="5"/>
    <n v="6"/>
    <n v="89"/>
    <n v="0"/>
    <x v="0"/>
    <n v="6"/>
  </r>
  <r>
    <x v="16"/>
    <n v="18"/>
    <n v="2"/>
    <n v="7"/>
    <n v="5"/>
    <n v="5"/>
    <n v="5"/>
    <n v="6"/>
    <n v="3"/>
    <n v="7"/>
    <n v="6"/>
    <n v="4"/>
    <n v="6"/>
    <n v="3"/>
    <n v="4"/>
    <n v="5"/>
    <n v="5"/>
    <n v="4"/>
    <n v="3"/>
    <n v="5"/>
    <n v="6"/>
    <n v="89"/>
    <n v="0"/>
    <x v="1"/>
    <n v="0"/>
  </r>
  <r>
    <x v="16"/>
    <n v="18"/>
    <n v="2"/>
    <n v="7"/>
    <n v="5"/>
    <n v="5"/>
    <n v="5"/>
    <n v="6"/>
    <n v="3"/>
    <n v="7"/>
    <n v="6"/>
    <n v="4"/>
    <n v="6"/>
    <n v="3"/>
    <n v="4"/>
    <n v="5"/>
    <n v="5"/>
    <n v="4"/>
    <n v="3"/>
    <n v="5"/>
    <n v="6"/>
    <n v="89"/>
    <n v="0"/>
    <x v="2"/>
    <n v="1"/>
  </r>
  <r>
    <x v="16"/>
    <n v="18"/>
    <n v="2"/>
    <n v="7"/>
    <n v="5"/>
    <n v="5"/>
    <n v="5"/>
    <n v="6"/>
    <n v="3"/>
    <n v="7"/>
    <n v="6"/>
    <n v="4"/>
    <n v="6"/>
    <n v="3"/>
    <n v="4"/>
    <n v="5"/>
    <n v="5"/>
    <n v="4"/>
    <n v="3"/>
    <n v="5"/>
    <n v="6"/>
    <n v="89"/>
    <n v="0"/>
    <x v="3"/>
    <n v="4"/>
  </r>
  <r>
    <x v="16"/>
    <n v="18"/>
    <n v="2"/>
    <n v="7"/>
    <n v="5"/>
    <n v="5"/>
    <n v="5"/>
    <n v="6"/>
    <n v="3"/>
    <n v="7"/>
    <n v="6"/>
    <n v="4"/>
    <n v="6"/>
    <n v="3"/>
    <n v="4"/>
    <n v="5"/>
    <n v="5"/>
    <n v="4"/>
    <n v="3"/>
    <n v="5"/>
    <n v="6"/>
    <n v="89"/>
    <n v="0"/>
    <x v="4"/>
    <n v="6"/>
  </r>
  <r>
    <x v="16"/>
    <n v="18"/>
    <n v="2"/>
    <n v="7"/>
    <n v="5"/>
    <n v="5"/>
    <n v="5"/>
    <n v="6"/>
    <n v="3"/>
    <n v="7"/>
    <n v="6"/>
    <n v="4"/>
    <n v="6"/>
    <n v="3"/>
    <n v="4"/>
    <n v="5"/>
    <n v="5"/>
    <n v="4"/>
    <n v="3"/>
    <n v="5"/>
    <n v="6"/>
    <n v="89"/>
    <n v="0"/>
    <x v="5"/>
    <n v="0"/>
  </r>
  <r>
    <x v="16"/>
    <n v="18"/>
    <n v="2"/>
    <n v="7"/>
    <n v="5"/>
    <n v="5"/>
    <n v="5"/>
    <n v="6"/>
    <n v="3"/>
    <n v="7"/>
    <n v="6"/>
    <n v="4"/>
    <n v="6"/>
    <n v="3"/>
    <n v="4"/>
    <n v="5"/>
    <n v="5"/>
    <n v="4"/>
    <n v="3"/>
    <n v="5"/>
    <n v="6"/>
    <n v="89"/>
    <n v="0"/>
    <x v="6"/>
    <n v="1"/>
  </r>
  <r>
    <x v="18"/>
    <n v="20"/>
    <n v="1"/>
    <n v="5"/>
    <n v="7"/>
    <n v="6"/>
    <n v="3"/>
    <n v="4"/>
    <n v="8"/>
    <n v="4"/>
    <n v="3"/>
    <n v="6"/>
    <n v="4"/>
    <n v="3"/>
    <n v="4"/>
    <n v="6"/>
    <n v="6"/>
    <n v="5"/>
    <n v="4"/>
    <n v="6"/>
    <n v="5"/>
    <n v="89"/>
    <n v="-2"/>
    <x v="0"/>
    <n v="6"/>
  </r>
  <r>
    <x v="18"/>
    <n v="20"/>
    <n v="1"/>
    <n v="5"/>
    <n v="7"/>
    <n v="6"/>
    <n v="3"/>
    <n v="4"/>
    <n v="8"/>
    <n v="4"/>
    <n v="3"/>
    <n v="6"/>
    <n v="4"/>
    <n v="3"/>
    <n v="4"/>
    <n v="6"/>
    <n v="6"/>
    <n v="5"/>
    <n v="4"/>
    <n v="6"/>
    <n v="5"/>
    <n v="89"/>
    <n v="-2"/>
    <x v="1"/>
    <n v="1"/>
  </r>
  <r>
    <x v="18"/>
    <n v="20"/>
    <n v="1"/>
    <n v="5"/>
    <n v="7"/>
    <n v="6"/>
    <n v="3"/>
    <n v="4"/>
    <n v="8"/>
    <n v="4"/>
    <n v="3"/>
    <n v="6"/>
    <n v="4"/>
    <n v="3"/>
    <n v="4"/>
    <n v="6"/>
    <n v="6"/>
    <n v="5"/>
    <n v="4"/>
    <n v="6"/>
    <n v="5"/>
    <n v="89"/>
    <n v="-2"/>
    <x v="2"/>
    <n v="0"/>
  </r>
  <r>
    <x v="18"/>
    <n v="20"/>
    <n v="1"/>
    <n v="5"/>
    <n v="7"/>
    <n v="6"/>
    <n v="3"/>
    <n v="4"/>
    <n v="8"/>
    <n v="4"/>
    <n v="3"/>
    <n v="6"/>
    <n v="4"/>
    <n v="3"/>
    <n v="4"/>
    <n v="6"/>
    <n v="6"/>
    <n v="5"/>
    <n v="4"/>
    <n v="6"/>
    <n v="5"/>
    <n v="89"/>
    <n v="-2"/>
    <x v="3"/>
    <n v="5"/>
  </r>
  <r>
    <x v="18"/>
    <n v="20"/>
    <n v="1"/>
    <n v="5"/>
    <n v="7"/>
    <n v="6"/>
    <n v="3"/>
    <n v="4"/>
    <n v="8"/>
    <n v="4"/>
    <n v="3"/>
    <n v="6"/>
    <n v="4"/>
    <n v="3"/>
    <n v="4"/>
    <n v="6"/>
    <n v="6"/>
    <n v="5"/>
    <n v="4"/>
    <n v="6"/>
    <n v="5"/>
    <n v="89"/>
    <n v="-2"/>
    <x v="4"/>
    <n v="4"/>
  </r>
  <r>
    <x v="18"/>
    <n v="20"/>
    <n v="1"/>
    <n v="5"/>
    <n v="7"/>
    <n v="6"/>
    <n v="3"/>
    <n v="4"/>
    <n v="8"/>
    <n v="4"/>
    <n v="3"/>
    <n v="6"/>
    <n v="4"/>
    <n v="3"/>
    <n v="4"/>
    <n v="6"/>
    <n v="6"/>
    <n v="5"/>
    <n v="4"/>
    <n v="6"/>
    <n v="5"/>
    <n v="89"/>
    <n v="-2"/>
    <x v="5"/>
    <n v="2"/>
  </r>
  <r>
    <x v="18"/>
    <n v="20"/>
    <n v="1"/>
    <n v="5"/>
    <n v="7"/>
    <n v="6"/>
    <n v="3"/>
    <n v="4"/>
    <n v="8"/>
    <n v="4"/>
    <n v="3"/>
    <n v="6"/>
    <n v="4"/>
    <n v="3"/>
    <n v="4"/>
    <n v="6"/>
    <n v="6"/>
    <n v="5"/>
    <n v="4"/>
    <n v="6"/>
    <n v="5"/>
    <n v="89"/>
    <n v="-2"/>
    <x v="6"/>
    <n v="0"/>
  </r>
  <r>
    <x v="6"/>
    <n v="14"/>
    <n v="2"/>
    <n v="5"/>
    <n v="6"/>
    <n v="4"/>
    <n v="4"/>
    <n v="4"/>
    <n v="6"/>
    <n v="5"/>
    <n v="4"/>
    <n v="5"/>
    <n v="5"/>
    <n v="4"/>
    <n v="5"/>
    <n v="5"/>
    <n v="7"/>
    <n v="5"/>
    <n v="4"/>
    <n v="6"/>
    <n v="6"/>
    <n v="90"/>
    <n v="5"/>
    <x v="0"/>
    <n v="4"/>
  </r>
  <r>
    <x v="6"/>
    <n v="14"/>
    <n v="2"/>
    <n v="5"/>
    <n v="6"/>
    <n v="4"/>
    <n v="4"/>
    <n v="4"/>
    <n v="6"/>
    <n v="5"/>
    <n v="4"/>
    <n v="5"/>
    <n v="5"/>
    <n v="4"/>
    <n v="5"/>
    <n v="5"/>
    <n v="7"/>
    <n v="5"/>
    <n v="4"/>
    <n v="6"/>
    <n v="6"/>
    <n v="90"/>
    <n v="5"/>
    <x v="1"/>
    <n v="0"/>
  </r>
  <r>
    <x v="6"/>
    <n v="14"/>
    <n v="2"/>
    <n v="5"/>
    <n v="6"/>
    <n v="4"/>
    <n v="4"/>
    <n v="4"/>
    <n v="6"/>
    <n v="5"/>
    <n v="4"/>
    <n v="5"/>
    <n v="5"/>
    <n v="4"/>
    <n v="5"/>
    <n v="5"/>
    <n v="7"/>
    <n v="5"/>
    <n v="4"/>
    <n v="6"/>
    <n v="6"/>
    <n v="90"/>
    <n v="5"/>
    <x v="2"/>
    <n v="0"/>
  </r>
  <r>
    <x v="6"/>
    <n v="14"/>
    <n v="2"/>
    <n v="5"/>
    <n v="6"/>
    <n v="4"/>
    <n v="4"/>
    <n v="4"/>
    <n v="6"/>
    <n v="5"/>
    <n v="4"/>
    <n v="5"/>
    <n v="5"/>
    <n v="4"/>
    <n v="5"/>
    <n v="5"/>
    <n v="7"/>
    <n v="5"/>
    <n v="4"/>
    <n v="6"/>
    <n v="6"/>
    <n v="90"/>
    <n v="5"/>
    <x v="3"/>
    <n v="9"/>
  </r>
  <r>
    <x v="6"/>
    <n v="14"/>
    <n v="2"/>
    <n v="5"/>
    <n v="6"/>
    <n v="4"/>
    <n v="4"/>
    <n v="4"/>
    <n v="6"/>
    <n v="5"/>
    <n v="4"/>
    <n v="5"/>
    <n v="5"/>
    <n v="4"/>
    <n v="5"/>
    <n v="5"/>
    <n v="7"/>
    <n v="5"/>
    <n v="4"/>
    <n v="6"/>
    <n v="6"/>
    <n v="90"/>
    <n v="5"/>
    <x v="4"/>
    <n v="5"/>
  </r>
  <r>
    <x v="6"/>
    <n v="14"/>
    <n v="2"/>
    <n v="5"/>
    <n v="6"/>
    <n v="4"/>
    <n v="4"/>
    <n v="4"/>
    <n v="6"/>
    <n v="5"/>
    <n v="4"/>
    <n v="5"/>
    <n v="5"/>
    <n v="4"/>
    <n v="5"/>
    <n v="5"/>
    <n v="7"/>
    <n v="5"/>
    <n v="4"/>
    <n v="6"/>
    <n v="6"/>
    <n v="90"/>
    <n v="5"/>
    <x v="5"/>
    <n v="0"/>
  </r>
  <r>
    <x v="6"/>
    <n v="14"/>
    <n v="2"/>
    <n v="5"/>
    <n v="6"/>
    <n v="4"/>
    <n v="4"/>
    <n v="4"/>
    <n v="6"/>
    <n v="5"/>
    <n v="4"/>
    <n v="5"/>
    <n v="5"/>
    <n v="4"/>
    <n v="5"/>
    <n v="5"/>
    <n v="7"/>
    <n v="5"/>
    <n v="4"/>
    <n v="6"/>
    <n v="6"/>
    <n v="90"/>
    <n v="5"/>
    <x v="6"/>
    <n v="0"/>
  </r>
  <r>
    <x v="13"/>
    <n v="15"/>
    <n v="1"/>
    <n v="5"/>
    <n v="6"/>
    <n v="4"/>
    <n v="4"/>
    <n v="5"/>
    <n v="4"/>
    <n v="4"/>
    <n v="4"/>
    <n v="6"/>
    <n v="5"/>
    <n v="3"/>
    <n v="5"/>
    <n v="4"/>
    <n v="9"/>
    <n v="5"/>
    <n v="4"/>
    <n v="7"/>
    <n v="6"/>
    <n v="90"/>
    <n v="4"/>
    <x v="0"/>
    <n v="5"/>
  </r>
  <r>
    <x v="13"/>
    <n v="15"/>
    <n v="1"/>
    <n v="5"/>
    <n v="6"/>
    <n v="4"/>
    <n v="4"/>
    <n v="5"/>
    <n v="4"/>
    <n v="4"/>
    <n v="4"/>
    <n v="6"/>
    <n v="5"/>
    <n v="3"/>
    <n v="5"/>
    <n v="4"/>
    <n v="9"/>
    <n v="5"/>
    <n v="4"/>
    <n v="7"/>
    <n v="6"/>
    <n v="90"/>
    <n v="4"/>
    <x v="1"/>
    <n v="1"/>
  </r>
  <r>
    <x v="13"/>
    <n v="15"/>
    <n v="1"/>
    <n v="5"/>
    <n v="6"/>
    <n v="4"/>
    <n v="4"/>
    <n v="5"/>
    <n v="4"/>
    <n v="4"/>
    <n v="4"/>
    <n v="6"/>
    <n v="5"/>
    <n v="3"/>
    <n v="5"/>
    <n v="4"/>
    <n v="9"/>
    <n v="5"/>
    <n v="4"/>
    <n v="7"/>
    <n v="6"/>
    <n v="90"/>
    <n v="4"/>
    <x v="2"/>
    <n v="0"/>
  </r>
  <r>
    <x v="13"/>
    <n v="15"/>
    <n v="1"/>
    <n v="5"/>
    <n v="6"/>
    <n v="4"/>
    <n v="4"/>
    <n v="5"/>
    <n v="4"/>
    <n v="4"/>
    <n v="4"/>
    <n v="6"/>
    <n v="5"/>
    <n v="3"/>
    <n v="5"/>
    <n v="4"/>
    <n v="9"/>
    <n v="5"/>
    <n v="4"/>
    <n v="7"/>
    <n v="6"/>
    <n v="90"/>
    <n v="4"/>
    <x v="3"/>
    <n v="7"/>
  </r>
  <r>
    <x v="13"/>
    <n v="15"/>
    <n v="1"/>
    <n v="5"/>
    <n v="6"/>
    <n v="4"/>
    <n v="4"/>
    <n v="5"/>
    <n v="4"/>
    <n v="4"/>
    <n v="4"/>
    <n v="6"/>
    <n v="5"/>
    <n v="3"/>
    <n v="5"/>
    <n v="4"/>
    <n v="9"/>
    <n v="5"/>
    <n v="4"/>
    <n v="7"/>
    <n v="6"/>
    <n v="90"/>
    <n v="4"/>
    <x v="4"/>
    <n v="3"/>
  </r>
  <r>
    <x v="13"/>
    <n v="15"/>
    <n v="1"/>
    <n v="5"/>
    <n v="6"/>
    <n v="4"/>
    <n v="4"/>
    <n v="5"/>
    <n v="4"/>
    <n v="4"/>
    <n v="4"/>
    <n v="6"/>
    <n v="5"/>
    <n v="3"/>
    <n v="5"/>
    <n v="4"/>
    <n v="9"/>
    <n v="5"/>
    <n v="4"/>
    <n v="7"/>
    <n v="6"/>
    <n v="90"/>
    <n v="4"/>
    <x v="5"/>
    <n v="1"/>
  </r>
  <r>
    <x v="13"/>
    <n v="15"/>
    <n v="1"/>
    <n v="5"/>
    <n v="6"/>
    <n v="4"/>
    <n v="4"/>
    <n v="5"/>
    <n v="4"/>
    <n v="4"/>
    <n v="4"/>
    <n v="6"/>
    <n v="5"/>
    <n v="3"/>
    <n v="5"/>
    <n v="4"/>
    <n v="9"/>
    <n v="5"/>
    <n v="4"/>
    <n v="7"/>
    <n v="6"/>
    <n v="90"/>
    <n v="4"/>
    <x v="6"/>
    <n v="1"/>
  </r>
  <r>
    <x v="19"/>
    <n v="16"/>
    <n v="2"/>
    <n v="6"/>
    <n v="8"/>
    <n v="5"/>
    <n v="4"/>
    <n v="5"/>
    <n v="6"/>
    <n v="4"/>
    <n v="5"/>
    <n v="5"/>
    <n v="5"/>
    <n v="4"/>
    <n v="4"/>
    <n v="4"/>
    <n v="5"/>
    <n v="6"/>
    <n v="4"/>
    <n v="5"/>
    <n v="5"/>
    <n v="90"/>
    <n v="3"/>
    <x v="0"/>
    <n v="3"/>
  </r>
  <r>
    <x v="19"/>
    <n v="16"/>
    <n v="2"/>
    <n v="6"/>
    <n v="8"/>
    <n v="5"/>
    <n v="4"/>
    <n v="5"/>
    <n v="6"/>
    <n v="4"/>
    <n v="5"/>
    <n v="5"/>
    <n v="5"/>
    <n v="4"/>
    <n v="4"/>
    <n v="4"/>
    <n v="5"/>
    <n v="6"/>
    <n v="4"/>
    <n v="5"/>
    <n v="5"/>
    <n v="90"/>
    <n v="3"/>
    <x v="1"/>
    <n v="0"/>
  </r>
  <r>
    <x v="19"/>
    <n v="16"/>
    <n v="2"/>
    <n v="6"/>
    <n v="8"/>
    <n v="5"/>
    <n v="4"/>
    <n v="5"/>
    <n v="6"/>
    <n v="4"/>
    <n v="5"/>
    <n v="5"/>
    <n v="5"/>
    <n v="4"/>
    <n v="4"/>
    <n v="4"/>
    <n v="5"/>
    <n v="6"/>
    <n v="4"/>
    <n v="5"/>
    <n v="5"/>
    <n v="90"/>
    <n v="3"/>
    <x v="2"/>
    <n v="0"/>
  </r>
  <r>
    <x v="19"/>
    <n v="16"/>
    <n v="2"/>
    <n v="6"/>
    <n v="8"/>
    <n v="5"/>
    <n v="4"/>
    <n v="5"/>
    <n v="6"/>
    <n v="4"/>
    <n v="5"/>
    <n v="5"/>
    <n v="5"/>
    <n v="4"/>
    <n v="4"/>
    <n v="4"/>
    <n v="5"/>
    <n v="6"/>
    <n v="4"/>
    <n v="5"/>
    <n v="5"/>
    <n v="90"/>
    <n v="3"/>
    <x v="3"/>
    <n v="13"/>
  </r>
  <r>
    <x v="19"/>
    <n v="16"/>
    <n v="2"/>
    <n v="6"/>
    <n v="8"/>
    <n v="5"/>
    <n v="4"/>
    <n v="5"/>
    <n v="6"/>
    <n v="4"/>
    <n v="5"/>
    <n v="5"/>
    <n v="5"/>
    <n v="4"/>
    <n v="4"/>
    <n v="4"/>
    <n v="5"/>
    <n v="6"/>
    <n v="4"/>
    <n v="5"/>
    <n v="5"/>
    <n v="90"/>
    <n v="3"/>
    <x v="4"/>
    <n v="1"/>
  </r>
  <r>
    <x v="19"/>
    <n v="16"/>
    <n v="2"/>
    <n v="6"/>
    <n v="8"/>
    <n v="5"/>
    <n v="4"/>
    <n v="5"/>
    <n v="6"/>
    <n v="4"/>
    <n v="5"/>
    <n v="5"/>
    <n v="5"/>
    <n v="4"/>
    <n v="4"/>
    <n v="4"/>
    <n v="5"/>
    <n v="6"/>
    <n v="4"/>
    <n v="5"/>
    <n v="5"/>
    <n v="90"/>
    <n v="3"/>
    <x v="5"/>
    <n v="0"/>
  </r>
  <r>
    <x v="19"/>
    <n v="16"/>
    <n v="2"/>
    <n v="6"/>
    <n v="8"/>
    <n v="5"/>
    <n v="4"/>
    <n v="5"/>
    <n v="6"/>
    <n v="4"/>
    <n v="5"/>
    <n v="5"/>
    <n v="5"/>
    <n v="4"/>
    <n v="4"/>
    <n v="4"/>
    <n v="5"/>
    <n v="6"/>
    <n v="4"/>
    <n v="5"/>
    <n v="5"/>
    <n v="90"/>
    <n v="3"/>
    <x v="6"/>
    <n v="1"/>
  </r>
  <r>
    <x v="15"/>
    <n v="18"/>
    <n v="2"/>
    <n v="4"/>
    <n v="5"/>
    <n v="5"/>
    <n v="4"/>
    <n v="6"/>
    <n v="5"/>
    <n v="4"/>
    <n v="6"/>
    <n v="5"/>
    <n v="5"/>
    <n v="4"/>
    <n v="5"/>
    <n v="6"/>
    <n v="6"/>
    <n v="6"/>
    <n v="3"/>
    <n v="5"/>
    <n v="6"/>
    <n v="90"/>
    <n v="1"/>
    <x v="0"/>
    <n v="2"/>
  </r>
  <r>
    <x v="15"/>
    <n v="18"/>
    <n v="2"/>
    <n v="4"/>
    <n v="5"/>
    <n v="5"/>
    <n v="4"/>
    <n v="6"/>
    <n v="5"/>
    <n v="4"/>
    <n v="6"/>
    <n v="5"/>
    <n v="5"/>
    <n v="4"/>
    <n v="5"/>
    <n v="6"/>
    <n v="6"/>
    <n v="6"/>
    <n v="3"/>
    <n v="5"/>
    <n v="6"/>
    <n v="90"/>
    <n v="1"/>
    <x v="1"/>
    <n v="1"/>
  </r>
  <r>
    <x v="15"/>
    <n v="18"/>
    <n v="2"/>
    <n v="4"/>
    <n v="5"/>
    <n v="5"/>
    <n v="4"/>
    <n v="6"/>
    <n v="5"/>
    <n v="4"/>
    <n v="6"/>
    <n v="5"/>
    <n v="5"/>
    <n v="4"/>
    <n v="5"/>
    <n v="6"/>
    <n v="6"/>
    <n v="6"/>
    <n v="3"/>
    <n v="5"/>
    <n v="6"/>
    <n v="90"/>
    <n v="1"/>
    <x v="2"/>
    <n v="0"/>
  </r>
  <r>
    <x v="15"/>
    <n v="18"/>
    <n v="2"/>
    <n v="4"/>
    <n v="5"/>
    <n v="5"/>
    <n v="4"/>
    <n v="6"/>
    <n v="5"/>
    <n v="4"/>
    <n v="6"/>
    <n v="5"/>
    <n v="5"/>
    <n v="4"/>
    <n v="5"/>
    <n v="6"/>
    <n v="6"/>
    <n v="6"/>
    <n v="3"/>
    <n v="5"/>
    <n v="6"/>
    <n v="90"/>
    <n v="1"/>
    <x v="3"/>
    <n v="10"/>
  </r>
  <r>
    <x v="15"/>
    <n v="18"/>
    <n v="2"/>
    <n v="4"/>
    <n v="5"/>
    <n v="5"/>
    <n v="4"/>
    <n v="6"/>
    <n v="5"/>
    <n v="4"/>
    <n v="6"/>
    <n v="5"/>
    <n v="5"/>
    <n v="4"/>
    <n v="5"/>
    <n v="6"/>
    <n v="6"/>
    <n v="6"/>
    <n v="3"/>
    <n v="5"/>
    <n v="6"/>
    <n v="90"/>
    <n v="1"/>
    <x v="4"/>
    <n v="5"/>
  </r>
  <r>
    <x v="15"/>
    <n v="18"/>
    <n v="2"/>
    <n v="4"/>
    <n v="5"/>
    <n v="5"/>
    <n v="4"/>
    <n v="6"/>
    <n v="5"/>
    <n v="4"/>
    <n v="6"/>
    <n v="5"/>
    <n v="5"/>
    <n v="4"/>
    <n v="5"/>
    <n v="6"/>
    <n v="6"/>
    <n v="6"/>
    <n v="3"/>
    <n v="5"/>
    <n v="6"/>
    <n v="90"/>
    <n v="1"/>
    <x v="5"/>
    <n v="0"/>
  </r>
  <r>
    <x v="15"/>
    <n v="18"/>
    <n v="2"/>
    <n v="4"/>
    <n v="5"/>
    <n v="5"/>
    <n v="4"/>
    <n v="6"/>
    <n v="5"/>
    <n v="4"/>
    <n v="6"/>
    <n v="5"/>
    <n v="5"/>
    <n v="4"/>
    <n v="5"/>
    <n v="6"/>
    <n v="6"/>
    <n v="6"/>
    <n v="3"/>
    <n v="5"/>
    <n v="6"/>
    <n v="90"/>
    <n v="1"/>
    <x v="6"/>
    <n v="0"/>
  </r>
  <r>
    <x v="19"/>
    <n v="16"/>
    <n v="1"/>
    <n v="5"/>
    <n v="6"/>
    <n v="7"/>
    <n v="3"/>
    <n v="6"/>
    <n v="5"/>
    <n v="6"/>
    <n v="8"/>
    <n v="4"/>
    <n v="5"/>
    <n v="3"/>
    <n v="4"/>
    <n v="6"/>
    <n v="5"/>
    <n v="5"/>
    <n v="3"/>
    <n v="6"/>
    <n v="5"/>
    <n v="92"/>
    <n v="5"/>
    <x v="0"/>
    <n v="8"/>
  </r>
  <r>
    <x v="19"/>
    <n v="16"/>
    <n v="1"/>
    <n v="5"/>
    <n v="6"/>
    <n v="7"/>
    <n v="3"/>
    <n v="6"/>
    <n v="5"/>
    <n v="6"/>
    <n v="8"/>
    <n v="4"/>
    <n v="5"/>
    <n v="3"/>
    <n v="4"/>
    <n v="6"/>
    <n v="5"/>
    <n v="5"/>
    <n v="3"/>
    <n v="6"/>
    <n v="5"/>
    <n v="92"/>
    <n v="5"/>
    <x v="1"/>
    <n v="0"/>
  </r>
  <r>
    <x v="19"/>
    <n v="16"/>
    <n v="1"/>
    <n v="5"/>
    <n v="6"/>
    <n v="7"/>
    <n v="3"/>
    <n v="6"/>
    <n v="5"/>
    <n v="6"/>
    <n v="8"/>
    <n v="4"/>
    <n v="5"/>
    <n v="3"/>
    <n v="4"/>
    <n v="6"/>
    <n v="5"/>
    <n v="5"/>
    <n v="3"/>
    <n v="6"/>
    <n v="5"/>
    <n v="92"/>
    <n v="5"/>
    <x v="2"/>
    <n v="0"/>
  </r>
  <r>
    <x v="19"/>
    <n v="16"/>
    <n v="1"/>
    <n v="5"/>
    <n v="6"/>
    <n v="7"/>
    <n v="3"/>
    <n v="6"/>
    <n v="5"/>
    <n v="6"/>
    <n v="8"/>
    <n v="4"/>
    <n v="5"/>
    <n v="3"/>
    <n v="4"/>
    <n v="6"/>
    <n v="5"/>
    <n v="5"/>
    <n v="3"/>
    <n v="6"/>
    <n v="5"/>
    <n v="92"/>
    <n v="5"/>
    <x v="3"/>
    <n v="3"/>
  </r>
  <r>
    <x v="19"/>
    <n v="16"/>
    <n v="1"/>
    <n v="5"/>
    <n v="6"/>
    <n v="7"/>
    <n v="3"/>
    <n v="6"/>
    <n v="5"/>
    <n v="6"/>
    <n v="8"/>
    <n v="4"/>
    <n v="5"/>
    <n v="3"/>
    <n v="4"/>
    <n v="6"/>
    <n v="5"/>
    <n v="5"/>
    <n v="3"/>
    <n v="6"/>
    <n v="5"/>
    <n v="92"/>
    <n v="5"/>
    <x v="4"/>
    <n v="4"/>
  </r>
  <r>
    <x v="19"/>
    <n v="16"/>
    <n v="1"/>
    <n v="5"/>
    <n v="6"/>
    <n v="7"/>
    <n v="3"/>
    <n v="6"/>
    <n v="5"/>
    <n v="6"/>
    <n v="8"/>
    <n v="4"/>
    <n v="5"/>
    <n v="3"/>
    <n v="4"/>
    <n v="6"/>
    <n v="5"/>
    <n v="5"/>
    <n v="3"/>
    <n v="6"/>
    <n v="5"/>
    <n v="92"/>
    <n v="5"/>
    <x v="5"/>
    <n v="2"/>
  </r>
  <r>
    <x v="19"/>
    <n v="16"/>
    <n v="1"/>
    <n v="5"/>
    <n v="6"/>
    <n v="7"/>
    <n v="3"/>
    <n v="6"/>
    <n v="5"/>
    <n v="6"/>
    <n v="8"/>
    <n v="4"/>
    <n v="5"/>
    <n v="3"/>
    <n v="4"/>
    <n v="6"/>
    <n v="5"/>
    <n v="5"/>
    <n v="3"/>
    <n v="6"/>
    <n v="5"/>
    <n v="92"/>
    <n v="5"/>
    <x v="6"/>
    <n v="1"/>
  </r>
  <r>
    <x v="10"/>
    <n v="16"/>
    <n v="2"/>
    <n v="5"/>
    <n v="4"/>
    <n v="4"/>
    <n v="4"/>
    <n v="7"/>
    <n v="5"/>
    <n v="5"/>
    <n v="4"/>
    <n v="5"/>
    <n v="8"/>
    <n v="7"/>
    <n v="4"/>
    <n v="4"/>
    <n v="7"/>
    <n v="5"/>
    <n v="5"/>
    <n v="5"/>
    <n v="4"/>
    <n v="92"/>
    <n v="5"/>
    <x v="0"/>
    <n v="8"/>
  </r>
  <r>
    <x v="10"/>
    <n v="16"/>
    <n v="2"/>
    <n v="5"/>
    <n v="4"/>
    <n v="4"/>
    <n v="4"/>
    <n v="7"/>
    <n v="5"/>
    <n v="5"/>
    <n v="4"/>
    <n v="5"/>
    <n v="8"/>
    <n v="7"/>
    <n v="4"/>
    <n v="4"/>
    <n v="7"/>
    <n v="5"/>
    <n v="5"/>
    <n v="5"/>
    <n v="4"/>
    <n v="92"/>
    <n v="5"/>
    <x v="1"/>
    <n v="0"/>
  </r>
  <r>
    <x v="10"/>
    <n v="16"/>
    <n v="2"/>
    <n v="5"/>
    <n v="4"/>
    <n v="4"/>
    <n v="4"/>
    <n v="7"/>
    <n v="5"/>
    <n v="5"/>
    <n v="4"/>
    <n v="5"/>
    <n v="8"/>
    <n v="7"/>
    <n v="4"/>
    <n v="4"/>
    <n v="7"/>
    <n v="5"/>
    <n v="5"/>
    <n v="5"/>
    <n v="4"/>
    <n v="92"/>
    <n v="5"/>
    <x v="2"/>
    <n v="0"/>
  </r>
  <r>
    <x v="10"/>
    <n v="16"/>
    <n v="2"/>
    <n v="5"/>
    <n v="4"/>
    <n v="4"/>
    <n v="4"/>
    <n v="7"/>
    <n v="5"/>
    <n v="5"/>
    <n v="4"/>
    <n v="5"/>
    <n v="8"/>
    <n v="7"/>
    <n v="4"/>
    <n v="4"/>
    <n v="7"/>
    <n v="5"/>
    <n v="5"/>
    <n v="5"/>
    <n v="4"/>
    <n v="92"/>
    <n v="5"/>
    <x v="3"/>
    <n v="4"/>
  </r>
  <r>
    <x v="10"/>
    <n v="16"/>
    <n v="2"/>
    <n v="5"/>
    <n v="4"/>
    <n v="4"/>
    <n v="4"/>
    <n v="7"/>
    <n v="5"/>
    <n v="5"/>
    <n v="4"/>
    <n v="5"/>
    <n v="8"/>
    <n v="7"/>
    <n v="4"/>
    <n v="4"/>
    <n v="7"/>
    <n v="5"/>
    <n v="5"/>
    <n v="5"/>
    <n v="4"/>
    <n v="92"/>
    <n v="5"/>
    <x v="4"/>
    <n v="3"/>
  </r>
  <r>
    <x v="10"/>
    <n v="16"/>
    <n v="2"/>
    <n v="5"/>
    <n v="4"/>
    <n v="4"/>
    <n v="4"/>
    <n v="7"/>
    <n v="5"/>
    <n v="5"/>
    <n v="4"/>
    <n v="5"/>
    <n v="8"/>
    <n v="7"/>
    <n v="4"/>
    <n v="4"/>
    <n v="7"/>
    <n v="5"/>
    <n v="5"/>
    <n v="5"/>
    <n v="4"/>
    <n v="92"/>
    <n v="5"/>
    <x v="5"/>
    <n v="1"/>
  </r>
  <r>
    <x v="10"/>
    <n v="16"/>
    <n v="2"/>
    <n v="5"/>
    <n v="4"/>
    <n v="4"/>
    <n v="4"/>
    <n v="7"/>
    <n v="5"/>
    <n v="5"/>
    <n v="4"/>
    <n v="5"/>
    <n v="8"/>
    <n v="7"/>
    <n v="4"/>
    <n v="4"/>
    <n v="7"/>
    <n v="5"/>
    <n v="5"/>
    <n v="5"/>
    <n v="4"/>
    <n v="92"/>
    <n v="5"/>
    <x v="6"/>
    <n v="2"/>
  </r>
  <r>
    <x v="17"/>
    <n v="18"/>
    <n v="1"/>
    <n v="5"/>
    <n v="5"/>
    <n v="5"/>
    <n v="6"/>
    <n v="6"/>
    <n v="4"/>
    <n v="6"/>
    <n v="5"/>
    <n v="7"/>
    <n v="4"/>
    <n v="3"/>
    <n v="6"/>
    <n v="4"/>
    <n v="5"/>
    <n v="5"/>
    <n v="5"/>
    <n v="6"/>
    <n v="5"/>
    <n v="92"/>
    <n v="3"/>
    <x v="0"/>
    <n v="5"/>
  </r>
  <r>
    <x v="17"/>
    <n v="18"/>
    <n v="1"/>
    <n v="5"/>
    <n v="5"/>
    <n v="5"/>
    <n v="6"/>
    <n v="6"/>
    <n v="4"/>
    <n v="6"/>
    <n v="5"/>
    <n v="7"/>
    <n v="4"/>
    <n v="3"/>
    <n v="6"/>
    <n v="4"/>
    <n v="5"/>
    <n v="5"/>
    <n v="5"/>
    <n v="6"/>
    <n v="5"/>
    <n v="92"/>
    <n v="3"/>
    <x v="1"/>
    <n v="1"/>
  </r>
  <r>
    <x v="17"/>
    <n v="18"/>
    <n v="1"/>
    <n v="5"/>
    <n v="5"/>
    <n v="5"/>
    <n v="6"/>
    <n v="6"/>
    <n v="4"/>
    <n v="6"/>
    <n v="5"/>
    <n v="7"/>
    <n v="4"/>
    <n v="3"/>
    <n v="6"/>
    <n v="4"/>
    <n v="5"/>
    <n v="5"/>
    <n v="5"/>
    <n v="6"/>
    <n v="5"/>
    <n v="92"/>
    <n v="3"/>
    <x v="2"/>
    <n v="0"/>
  </r>
  <r>
    <x v="17"/>
    <n v="18"/>
    <n v="1"/>
    <n v="5"/>
    <n v="5"/>
    <n v="5"/>
    <n v="6"/>
    <n v="6"/>
    <n v="4"/>
    <n v="6"/>
    <n v="5"/>
    <n v="7"/>
    <n v="4"/>
    <n v="3"/>
    <n v="6"/>
    <n v="4"/>
    <n v="5"/>
    <n v="5"/>
    <n v="5"/>
    <n v="6"/>
    <n v="5"/>
    <n v="92"/>
    <n v="3"/>
    <x v="3"/>
    <n v="5"/>
  </r>
  <r>
    <x v="17"/>
    <n v="18"/>
    <n v="1"/>
    <n v="5"/>
    <n v="5"/>
    <n v="5"/>
    <n v="6"/>
    <n v="6"/>
    <n v="4"/>
    <n v="6"/>
    <n v="5"/>
    <n v="7"/>
    <n v="4"/>
    <n v="3"/>
    <n v="6"/>
    <n v="4"/>
    <n v="5"/>
    <n v="5"/>
    <n v="5"/>
    <n v="6"/>
    <n v="5"/>
    <n v="92"/>
    <n v="3"/>
    <x v="4"/>
    <n v="4"/>
  </r>
  <r>
    <x v="17"/>
    <n v="18"/>
    <n v="1"/>
    <n v="5"/>
    <n v="5"/>
    <n v="5"/>
    <n v="6"/>
    <n v="6"/>
    <n v="4"/>
    <n v="6"/>
    <n v="5"/>
    <n v="7"/>
    <n v="4"/>
    <n v="3"/>
    <n v="6"/>
    <n v="4"/>
    <n v="5"/>
    <n v="5"/>
    <n v="5"/>
    <n v="6"/>
    <n v="5"/>
    <n v="92"/>
    <n v="3"/>
    <x v="5"/>
    <n v="3"/>
  </r>
  <r>
    <x v="17"/>
    <n v="18"/>
    <n v="1"/>
    <n v="5"/>
    <n v="5"/>
    <n v="5"/>
    <n v="6"/>
    <n v="6"/>
    <n v="4"/>
    <n v="6"/>
    <n v="5"/>
    <n v="7"/>
    <n v="4"/>
    <n v="3"/>
    <n v="6"/>
    <n v="4"/>
    <n v="5"/>
    <n v="5"/>
    <n v="5"/>
    <n v="6"/>
    <n v="5"/>
    <n v="92"/>
    <n v="3"/>
    <x v="6"/>
    <n v="0"/>
  </r>
  <r>
    <x v="20"/>
    <n v="20"/>
    <n v="2"/>
    <n v="5"/>
    <n v="7"/>
    <n v="6"/>
    <n v="5"/>
    <n v="5"/>
    <n v="5"/>
    <n v="3"/>
    <n v="6"/>
    <n v="4"/>
    <n v="6"/>
    <n v="5"/>
    <n v="4"/>
    <n v="4"/>
    <n v="6"/>
    <n v="6"/>
    <n v="4"/>
    <n v="5"/>
    <n v="6"/>
    <n v="92"/>
    <n v="1"/>
    <x v="0"/>
    <n v="6"/>
  </r>
  <r>
    <x v="20"/>
    <n v="20"/>
    <n v="2"/>
    <n v="5"/>
    <n v="7"/>
    <n v="6"/>
    <n v="5"/>
    <n v="5"/>
    <n v="5"/>
    <n v="3"/>
    <n v="6"/>
    <n v="4"/>
    <n v="6"/>
    <n v="5"/>
    <n v="4"/>
    <n v="4"/>
    <n v="6"/>
    <n v="6"/>
    <n v="4"/>
    <n v="5"/>
    <n v="6"/>
    <n v="92"/>
    <n v="1"/>
    <x v="1"/>
    <n v="0"/>
  </r>
  <r>
    <x v="20"/>
    <n v="20"/>
    <n v="2"/>
    <n v="5"/>
    <n v="7"/>
    <n v="6"/>
    <n v="5"/>
    <n v="5"/>
    <n v="5"/>
    <n v="3"/>
    <n v="6"/>
    <n v="4"/>
    <n v="6"/>
    <n v="5"/>
    <n v="4"/>
    <n v="4"/>
    <n v="6"/>
    <n v="6"/>
    <n v="4"/>
    <n v="5"/>
    <n v="6"/>
    <n v="92"/>
    <n v="1"/>
    <x v="2"/>
    <n v="0"/>
  </r>
  <r>
    <x v="20"/>
    <n v="20"/>
    <n v="2"/>
    <n v="5"/>
    <n v="7"/>
    <n v="6"/>
    <n v="5"/>
    <n v="5"/>
    <n v="5"/>
    <n v="3"/>
    <n v="6"/>
    <n v="4"/>
    <n v="6"/>
    <n v="5"/>
    <n v="4"/>
    <n v="4"/>
    <n v="6"/>
    <n v="6"/>
    <n v="4"/>
    <n v="5"/>
    <n v="6"/>
    <n v="92"/>
    <n v="1"/>
    <x v="3"/>
    <n v="4"/>
  </r>
  <r>
    <x v="20"/>
    <n v="20"/>
    <n v="2"/>
    <n v="5"/>
    <n v="7"/>
    <n v="6"/>
    <n v="5"/>
    <n v="5"/>
    <n v="5"/>
    <n v="3"/>
    <n v="6"/>
    <n v="4"/>
    <n v="6"/>
    <n v="5"/>
    <n v="4"/>
    <n v="4"/>
    <n v="6"/>
    <n v="6"/>
    <n v="4"/>
    <n v="5"/>
    <n v="6"/>
    <n v="92"/>
    <n v="1"/>
    <x v="4"/>
    <n v="7"/>
  </r>
  <r>
    <x v="20"/>
    <n v="20"/>
    <n v="2"/>
    <n v="5"/>
    <n v="7"/>
    <n v="6"/>
    <n v="5"/>
    <n v="5"/>
    <n v="5"/>
    <n v="3"/>
    <n v="6"/>
    <n v="4"/>
    <n v="6"/>
    <n v="5"/>
    <n v="4"/>
    <n v="4"/>
    <n v="6"/>
    <n v="6"/>
    <n v="4"/>
    <n v="5"/>
    <n v="6"/>
    <n v="92"/>
    <n v="1"/>
    <x v="5"/>
    <n v="1"/>
  </r>
  <r>
    <x v="20"/>
    <n v="20"/>
    <n v="2"/>
    <n v="5"/>
    <n v="7"/>
    <n v="6"/>
    <n v="5"/>
    <n v="5"/>
    <n v="5"/>
    <n v="3"/>
    <n v="6"/>
    <n v="4"/>
    <n v="6"/>
    <n v="5"/>
    <n v="4"/>
    <n v="4"/>
    <n v="6"/>
    <n v="6"/>
    <n v="4"/>
    <n v="5"/>
    <n v="6"/>
    <n v="92"/>
    <n v="1"/>
    <x v="6"/>
    <n v="0"/>
  </r>
  <r>
    <x v="21"/>
    <n v="26"/>
    <n v="2"/>
    <n v="6"/>
    <n v="7"/>
    <n v="5"/>
    <n v="4"/>
    <n v="5"/>
    <n v="4"/>
    <n v="5"/>
    <n v="6"/>
    <n v="6"/>
    <n v="6"/>
    <n v="6"/>
    <n v="3"/>
    <n v="5"/>
    <n v="5"/>
    <n v="5"/>
    <n v="3"/>
    <n v="5"/>
    <n v="6"/>
    <n v="92"/>
    <n v="-5"/>
    <x v="0"/>
    <n v="2"/>
  </r>
  <r>
    <x v="21"/>
    <n v="26"/>
    <n v="2"/>
    <n v="6"/>
    <n v="7"/>
    <n v="5"/>
    <n v="4"/>
    <n v="5"/>
    <n v="4"/>
    <n v="5"/>
    <n v="6"/>
    <n v="6"/>
    <n v="6"/>
    <n v="6"/>
    <n v="3"/>
    <n v="5"/>
    <n v="5"/>
    <n v="5"/>
    <n v="3"/>
    <n v="5"/>
    <n v="6"/>
    <n v="92"/>
    <n v="-5"/>
    <x v="1"/>
    <n v="2"/>
  </r>
  <r>
    <x v="21"/>
    <n v="26"/>
    <n v="2"/>
    <n v="6"/>
    <n v="7"/>
    <n v="5"/>
    <n v="4"/>
    <n v="5"/>
    <n v="4"/>
    <n v="5"/>
    <n v="6"/>
    <n v="6"/>
    <n v="6"/>
    <n v="6"/>
    <n v="3"/>
    <n v="5"/>
    <n v="5"/>
    <n v="5"/>
    <n v="3"/>
    <n v="5"/>
    <n v="6"/>
    <n v="92"/>
    <n v="-5"/>
    <x v="2"/>
    <n v="0"/>
  </r>
  <r>
    <x v="21"/>
    <n v="26"/>
    <n v="2"/>
    <n v="6"/>
    <n v="7"/>
    <n v="5"/>
    <n v="4"/>
    <n v="5"/>
    <n v="4"/>
    <n v="5"/>
    <n v="6"/>
    <n v="6"/>
    <n v="6"/>
    <n v="6"/>
    <n v="3"/>
    <n v="5"/>
    <n v="5"/>
    <n v="5"/>
    <n v="3"/>
    <n v="5"/>
    <n v="6"/>
    <n v="92"/>
    <n v="-5"/>
    <x v="3"/>
    <n v="7"/>
  </r>
  <r>
    <x v="21"/>
    <n v="26"/>
    <n v="2"/>
    <n v="6"/>
    <n v="7"/>
    <n v="5"/>
    <n v="4"/>
    <n v="5"/>
    <n v="4"/>
    <n v="5"/>
    <n v="6"/>
    <n v="6"/>
    <n v="6"/>
    <n v="6"/>
    <n v="3"/>
    <n v="5"/>
    <n v="5"/>
    <n v="5"/>
    <n v="3"/>
    <n v="5"/>
    <n v="6"/>
    <n v="92"/>
    <n v="-5"/>
    <x v="4"/>
    <n v="5"/>
  </r>
  <r>
    <x v="21"/>
    <n v="26"/>
    <n v="2"/>
    <n v="6"/>
    <n v="7"/>
    <n v="5"/>
    <n v="4"/>
    <n v="5"/>
    <n v="4"/>
    <n v="5"/>
    <n v="6"/>
    <n v="6"/>
    <n v="6"/>
    <n v="6"/>
    <n v="3"/>
    <n v="5"/>
    <n v="5"/>
    <n v="5"/>
    <n v="3"/>
    <n v="5"/>
    <n v="6"/>
    <n v="92"/>
    <n v="-5"/>
    <x v="5"/>
    <n v="2"/>
  </r>
  <r>
    <x v="21"/>
    <n v="26"/>
    <n v="2"/>
    <n v="6"/>
    <n v="7"/>
    <n v="5"/>
    <n v="4"/>
    <n v="5"/>
    <n v="4"/>
    <n v="5"/>
    <n v="6"/>
    <n v="6"/>
    <n v="6"/>
    <n v="6"/>
    <n v="3"/>
    <n v="5"/>
    <n v="5"/>
    <n v="5"/>
    <n v="3"/>
    <n v="5"/>
    <n v="6"/>
    <n v="92"/>
    <n v="-5"/>
    <x v="6"/>
    <n v="0"/>
  </r>
  <r>
    <x v="18"/>
    <n v="20"/>
    <n v="2"/>
    <n v="5"/>
    <n v="5"/>
    <n v="5"/>
    <n v="4"/>
    <n v="7"/>
    <n v="7"/>
    <n v="4"/>
    <n v="6"/>
    <n v="7"/>
    <n v="7"/>
    <n v="4"/>
    <n v="4"/>
    <n v="4"/>
    <n v="6"/>
    <n v="5"/>
    <n v="2"/>
    <n v="5"/>
    <n v="6"/>
    <n v="93"/>
    <n v="2"/>
    <x v="0"/>
    <n v="3"/>
  </r>
  <r>
    <x v="18"/>
    <n v="20"/>
    <n v="2"/>
    <n v="5"/>
    <n v="5"/>
    <n v="5"/>
    <n v="4"/>
    <n v="7"/>
    <n v="7"/>
    <n v="4"/>
    <n v="6"/>
    <n v="7"/>
    <n v="7"/>
    <n v="4"/>
    <n v="4"/>
    <n v="4"/>
    <n v="6"/>
    <n v="5"/>
    <n v="2"/>
    <n v="5"/>
    <n v="6"/>
    <n v="93"/>
    <n v="2"/>
    <x v="1"/>
    <n v="1"/>
  </r>
  <r>
    <x v="18"/>
    <n v="20"/>
    <n v="2"/>
    <n v="5"/>
    <n v="5"/>
    <n v="5"/>
    <n v="4"/>
    <n v="7"/>
    <n v="7"/>
    <n v="4"/>
    <n v="6"/>
    <n v="7"/>
    <n v="7"/>
    <n v="4"/>
    <n v="4"/>
    <n v="4"/>
    <n v="6"/>
    <n v="5"/>
    <n v="2"/>
    <n v="5"/>
    <n v="6"/>
    <n v="93"/>
    <n v="2"/>
    <x v="2"/>
    <n v="0"/>
  </r>
  <r>
    <x v="18"/>
    <n v="20"/>
    <n v="2"/>
    <n v="5"/>
    <n v="5"/>
    <n v="5"/>
    <n v="4"/>
    <n v="7"/>
    <n v="7"/>
    <n v="4"/>
    <n v="6"/>
    <n v="7"/>
    <n v="7"/>
    <n v="4"/>
    <n v="4"/>
    <n v="4"/>
    <n v="6"/>
    <n v="5"/>
    <n v="2"/>
    <n v="5"/>
    <n v="6"/>
    <n v="93"/>
    <n v="2"/>
    <x v="3"/>
    <n v="8"/>
  </r>
  <r>
    <x v="18"/>
    <n v="20"/>
    <n v="2"/>
    <n v="5"/>
    <n v="5"/>
    <n v="5"/>
    <n v="4"/>
    <n v="7"/>
    <n v="7"/>
    <n v="4"/>
    <n v="6"/>
    <n v="7"/>
    <n v="7"/>
    <n v="4"/>
    <n v="4"/>
    <n v="4"/>
    <n v="6"/>
    <n v="5"/>
    <n v="2"/>
    <n v="5"/>
    <n v="6"/>
    <n v="93"/>
    <n v="2"/>
    <x v="4"/>
    <n v="3"/>
  </r>
  <r>
    <x v="18"/>
    <n v="20"/>
    <n v="2"/>
    <n v="5"/>
    <n v="5"/>
    <n v="5"/>
    <n v="4"/>
    <n v="7"/>
    <n v="7"/>
    <n v="4"/>
    <n v="6"/>
    <n v="7"/>
    <n v="7"/>
    <n v="4"/>
    <n v="4"/>
    <n v="4"/>
    <n v="6"/>
    <n v="5"/>
    <n v="2"/>
    <n v="5"/>
    <n v="6"/>
    <n v="93"/>
    <n v="2"/>
    <x v="5"/>
    <n v="3"/>
  </r>
  <r>
    <x v="18"/>
    <n v="20"/>
    <n v="2"/>
    <n v="5"/>
    <n v="5"/>
    <n v="5"/>
    <n v="4"/>
    <n v="7"/>
    <n v="7"/>
    <n v="4"/>
    <n v="6"/>
    <n v="7"/>
    <n v="7"/>
    <n v="4"/>
    <n v="4"/>
    <n v="4"/>
    <n v="6"/>
    <n v="5"/>
    <n v="2"/>
    <n v="5"/>
    <n v="6"/>
    <n v="93"/>
    <n v="2"/>
    <x v="6"/>
    <n v="0"/>
  </r>
  <r>
    <x v="22"/>
    <n v="22"/>
    <n v="2"/>
    <n v="6"/>
    <n v="6"/>
    <n v="5"/>
    <n v="2"/>
    <n v="5"/>
    <n v="6"/>
    <n v="5"/>
    <n v="4"/>
    <n v="5"/>
    <n v="10"/>
    <n v="3"/>
    <n v="5"/>
    <n v="5"/>
    <n v="6"/>
    <n v="5"/>
    <n v="4"/>
    <n v="6"/>
    <n v="5"/>
    <n v="93"/>
    <n v="0"/>
    <x v="0"/>
    <n v="2"/>
  </r>
  <r>
    <x v="22"/>
    <n v="22"/>
    <n v="2"/>
    <n v="6"/>
    <n v="6"/>
    <n v="5"/>
    <n v="2"/>
    <n v="5"/>
    <n v="6"/>
    <n v="5"/>
    <n v="4"/>
    <n v="5"/>
    <n v="10"/>
    <n v="3"/>
    <n v="5"/>
    <n v="5"/>
    <n v="6"/>
    <n v="5"/>
    <n v="4"/>
    <n v="6"/>
    <n v="5"/>
    <n v="93"/>
    <n v="0"/>
    <x v="1"/>
    <n v="1"/>
  </r>
  <r>
    <x v="22"/>
    <n v="22"/>
    <n v="2"/>
    <n v="6"/>
    <n v="6"/>
    <n v="5"/>
    <n v="2"/>
    <n v="5"/>
    <n v="6"/>
    <n v="5"/>
    <n v="4"/>
    <n v="5"/>
    <n v="10"/>
    <n v="3"/>
    <n v="5"/>
    <n v="5"/>
    <n v="6"/>
    <n v="5"/>
    <n v="4"/>
    <n v="6"/>
    <n v="5"/>
    <n v="93"/>
    <n v="0"/>
    <x v="2"/>
    <n v="0"/>
  </r>
  <r>
    <x v="22"/>
    <n v="22"/>
    <n v="2"/>
    <n v="6"/>
    <n v="6"/>
    <n v="5"/>
    <n v="2"/>
    <n v="5"/>
    <n v="6"/>
    <n v="5"/>
    <n v="4"/>
    <n v="5"/>
    <n v="10"/>
    <n v="3"/>
    <n v="5"/>
    <n v="5"/>
    <n v="6"/>
    <n v="5"/>
    <n v="4"/>
    <n v="6"/>
    <n v="5"/>
    <n v="93"/>
    <n v="0"/>
    <x v="3"/>
    <n v="11"/>
  </r>
  <r>
    <x v="22"/>
    <n v="22"/>
    <n v="2"/>
    <n v="6"/>
    <n v="6"/>
    <n v="5"/>
    <n v="2"/>
    <n v="5"/>
    <n v="6"/>
    <n v="5"/>
    <n v="4"/>
    <n v="5"/>
    <n v="10"/>
    <n v="3"/>
    <n v="5"/>
    <n v="5"/>
    <n v="6"/>
    <n v="5"/>
    <n v="4"/>
    <n v="6"/>
    <n v="5"/>
    <n v="93"/>
    <n v="0"/>
    <x v="4"/>
    <n v="3"/>
  </r>
  <r>
    <x v="22"/>
    <n v="22"/>
    <n v="2"/>
    <n v="6"/>
    <n v="6"/>
    <n v="5"/>
    <n v="2"/>
    <n v="5"/>
    <n v="6"/>
    <n v="5"/>
    <n v="4"/>
    <n v="5"/>
    <n v="10"/>
    <n v="3"/>
    <n v="5"/>
    <n v="5"/>
    <n v="6"/>
    <n v="5"/>
    <n v="4"/>
    <n v="6"/>
    <n v="5"/>
    <n v="93"/>
    <n v="0"/>
    <x v="5"/>
    <n v="0"/>
  </r>
  <r>
    <x v="22"/>
    <n v="22"/>
    <n v="2"/>
    <n v="6"/>
    <n v="6"/>
    <n v="5"/>
    <n v="2"/>
    <n v="5"/>
    <n v="6"/>
    <n v="5"/>
    <n v="4"/>
    <n v="5"/>
    <n v="10"/>
    <n v="3"/>
    <n v="5"/>
    <n v="5"/>
    <n v="6"/>
    <n v="5"/>
    <n v="4"/>
    <n v="6"/>
    <n v="5"/>
    <n v="93"/>
    <n v="0"/>
    <x v="6"/>
    <n v="1"/>
  </r>
  <r>
    <x v="23"/>
    <n v="25"/>
    <n v="1"/>
    <n v="6"/>
    <n v="6"/>
    <n v="4"/>
    <n v="4"/>
    <n v="4"/>
    <n v="6"/>
    <n v="4"/>
    <n v="6"/>
    <n v="4"/>
    <n v="8"/>
    <n v="6"/>
    <n v="5"/>
    <n v="4"/>
    <n v="6"/>
    <n v="6"/>
    <n v="3"/>
    <n v="5"/>
    <n v="7"/>
    <n v="94"/>
    <n v="-2"/>
    <x v="0"/>
    <n v="5"/>
  </r>
  <r>
    <x v="23"/>
    <n v="25"/>
    <n v="1"/>
    <n v="6"/>
    <n v="6"/>
    <n v="4"/>
    <n v="4"/>
    <n v="4"/>
    <n v="6"/>
    <n v="4"/>
    <n v="6"/>
    <n v="4"/>
    <n v="8"/>
    <n v="6"/>
    <n v="5"/>
    <n v="4"/>
    <n v="6"/>
    <n v="6"/>
    <n v="3"/>
    <n v="5"/>
    <n v="7"/>
    <n v="94"/>
    <n v="-2"/>
    <x v="1"/>
    <n v="0"/>
  </r>
  <r>
    <x v="23"/>
    <n v="25"/>
    <n v="1"/>
    <n v="6"/>
    <n v="6"/>
    <n v="4"/>
    <n v="4"/>
    <n v="4"/>
    <n v="6"/>
    <n v="4"/>
    <n v="6"/>
    <n v="4"/>
    <n v="8"/>
    <n v="6"/>
    <n v="5"/>
    <n v="4"/>
    <n v="6"/>
    <n v="6"/>
    <n v="3"/>
    <n v="5"/>
    <n v="7"/>
    <n v="94"/>
    <n v="-2"/>
    <x v="2"/>
    <n v="0"/>
  </r>
  <r>
    <x v="23"/>
    <n v="25"/>
    <n v="1"/>
    <n v="6"/>
    <n v="6"/>
    <n v="4"/>
    <n v="4"/>
    <n v="4"/>
    <n v="6"/>
    <n v="4"/>
    <n v="6"/>
    <n v="4"/>
    <n v="8"/>
    <n v="6"/>
    <n v="5"/>
    <n v="4"/>
    <n v="6"/>
    <n v="6"/>
    <n v="3"/>
    <n v="5"/>
    <n v="7"/>
    <n v="94"/>
    <n v="-2"/>
    <x v="3"/>
    <n v="7"/>
  </r>
  <r>
    <x v="23"/>
    <n v="25"/>
    <n v="1"/>
    <n v="6"/>
    <n v="6"/>
    <n v="4"/>
    <n v="4"/>
    <n v="4"/>
    <n v="6"/>
    <n v="4"/>
    <n v="6"/>
    <n v="4"/>
    <n v="8"/>
    <n v="6"/>
    <n v="5"/>
    <n v="4"/>
    <n v="6"/>
    <n v="6"/>
    <n v="3"/>
    <n v="5"/>
    <n v="7"/>
    <n v="94"/>
    <n v="-2"/>
    <x v="4"/>
    <n v="3"/>
  </r>
  <r>
    <x v="23"/>
    <n v="25"/>
    <n v="1"/>
    <n v="6"/>
    <n v="6"/>
    <n v="4"/>
    <n v="4"/>
    <n v="4"/>
    <n v="6"/>
    <n v="4"/>
    <n v="6"/>
    <n v="4"/>
    <n v="8"/>
    <n v="6"/>
    <n v="5"/>
    <n v="4"/>
    <n v="6"/>
    <n v="6"/>
    <n v="3"/>
    <n v="5"/>
    <n v="7"/>
    <n v="94"/>
    <n v="-2"/>
    <x v="5"/>
    <n v="2"/>
  </r>
  <r>
    <x v="23"/>
    <n v="25"/>
    <n v="1"/>
    <n v="6"/>
    <n v="6"/>
    <n v="4"/>
    <n v="4"/>
    <n v="4"/>
    <n v="6"/>
    <n v="4"/>
    <n v="6"/>
    <n v="4"/>
    <n v="8"/>
    <n v="6"/>
    <n v="5"/>
    <n v="4"/>
    <n v="6"/>
    <n v="6"/>
    <n v="3"/>
    <n v="5"/>
    <n v="7"/>
    <n v="94"/>
    <n v="-2"/>
    <x v="6"/>
    <n v="1"/>
  </r>
  <r>
    <x v="24"/>
    <n v="18"/>
    <n v="2"/>
    <n v="6"/>
    <n v="6"/>
    <n v="5"/>
    <n v="4"/>
    <n v="4"/>
    <n v="4"/>
    <n v="4"/>
    <n v="3"/>
    <n v="4"/>
    <n v="9"/>
    <n v="5"/>
    <n v="6"/>
    <n v="4"/>
    <n v="6"/>
    <n v="6"/>
    <n v="6"/>
    <n v="8"/>
    <n v="5"/>
    <n v="95"/>
    <n v="6"/>
    <x v="0"/>
    <n v="3"/>
  </r>
  <r>
    <x v="24"/>
    <n v="18"/>
    <n v="2"/>
    <n v="6"/>
    <n v="6"/>
    <n v="5"/>
    <n v="4"/>
    <n v="4"/>
    <n v="4"/>
    <n v="4"/>
    <n v="3"/>
    <n v="4"/>
    <n v="9"/>
    <n v="5"/>
    <n v="6"/>
    <n v="4"/>
    <n v="6"/>
    <n v="6"/>
    <n v="6"/>
    <n v="8"/>
    <n v="5"/>
    <n v="95"/>
    <n v="6"/>
    <x v="1"/>
    <n v="2"/>
  </r>
  <r>
    <x v="24"/>
    <n v="18"/>
    <n v="2"/>
    <n v="6"/>
    <n v="6"/>
    <n v="5"/>
    <n v="4"/>
    <n v="4"/>
    <n v="4"/>
    <n v="4"/>
    <n v="3"/>
    <n v="4"/>
    <n v="9"/>
    <n v="5"/>
    <n v="6"/>
    <n v="4"/>
    <n v="6"/>
    <n v="6"/>
    <n v="6"/>
    <n v="8"/>
    <n v="5"/>
    <n v="95"/>
    <n v="6"/>
    <x v="2"/>
    <n v="0"/>
  </r>
  <r>
    <x v="24"/>
    <n v="18"/>
    <n v="2"/>
    <n v="6"/>
    <n v="6"/>
    <n v="5"/>
    <n v="4"/>
    <n v="4"/>
    <n v="4"/>
    <n v="4"/>
    <n v="3"/>
    <n v="4"/>
    <n v="9"/>
    <n v="5"/>
    <n v="6"/>
    <n v="4"/>
    <n v="6"/>
    <n v="6"/>
    <n v="6"/>
    <n v="8"/>
    <n v="5"/>
    <n v="95"/>
    <n v="6"/>
    <x v="3"/>
    <n v="6"/>
  </r>
  <r>
    <x v="24"/>
    <n v="18"/>
    <n v="2"/>
    <n v="6"/>
    <n v="6"/>
    <n v="5"/>
    <n v="4"/>
    <n v="4"/>
    <n v="4"/>
    <n v="4"/>
    <n v="3"/>
    <n v="4"/>
    <n v="9"/>
    <n v="5"/>
    <n v="6"/>
    <n v="4"/>
    <n v="6"/>
    <n v="6"/>
    <n v="6"/>
    <n v="8"/>
    <n v="5"/>
    <n v="95"/>
    <n v="6"/>
    <x v="4"/>
    <n v="4"/>
  </r>
  <r>
    <x v="24"/>
    <n v="18"/>
    <n v="2"/>
    <n v="6"/>
    <n v="6"/>
    <n v="5"/>
    <n v="4"/>
    <n v="4"/>
    <n v="4"/>
    <n v="4"/>
    <n v="3"/>
    <n v="4"/>
    <n v="9"/>
    <n v="5"/>
    <n v="6"/>
    <n v="4"/>
    <n v="6"/>
    <n v="6"/>
    <n v="6"/>
    <n v="8"/>
    <n v="5"/>
    <n v="95"/>
    <n v="6"/>
    <x v="5"/>
    <n v="1"/>
  </r>
  <r>
    <x v="24"/>
    <n v="18"/>
    <n v="2"/>
    <n v="6"/>
    <n v="6"/>
    <n v="5"/>
    <n v="4"/>
    <n v="4"/>
    <n v="4"/>
    <n v="4"/>
    <n v="3"/>
    <n v="4"/>
    <n v="9"/>
    <n v="5"/>
    <n v="6"/>
    <n v="4"/>
    <n v="6"/>
    <n v="6"/>
    <n v="6"/>
    <n v="8"/>
    <n v="5"/>
    <n v="95"/>
    <n v="6"/>
    <x v="6"/>
    <n v="2"/>
  </r>
  <r>
    <x v="20"/>
    <n v="20"/>
    <n v="1"/>
    <n v="6"/>
    <n v="6"/>
    <n v="4"/>
    <n v="5"/>
    <n v="5"/>
    <n v="7"/>
    <n v="5"/>
    <n v="6"/>
    <n v="4"/>
    <n v="5"/>
    <n v="4"/>
    <n v="5"/>
    <n v="5"/>
    <n v="6"/>
    <n v="6"/>
    <n v="3"/>
    <n v="7"/>
    <n v="6"/>
    <n v="95"/>
    <n v="4"/>
    <x v="0"/>
    <n v="3"/>
  </r>
  <r>
    <x v="20"/>
    <n v="20"/>
    <n v="1"/>
    <n v="6"/>
    <n v="6"/>
    <n v="4"/>
    <n v="5"/>
    <n v="5"/>
    <n v="7"/>
    <n v="5"/>
    <n v="6"/>
    <n v="4"/>
    <n v="5"/>
    <n v="4"/>
    <n v="5"/>
    <n v="5"/>
    <n v="6"/>
    <n v="6"/>
    <n v="3"/>
    <n v="7"/>
    <n v="6"/>
    <n v="95"/>
    <n v="4"/>
    <x v="1"/>
    <n v="0"/>
  </r>
  <r>
    <x v="20"/>
    <n v="20"/>
    <n v="1"/>
    <n v="6"/>
    <n v="6"/>
    <n v="4"/>
    <n v="5"/>
    <n v="5"/>
    <n v="7"/>
    <n v="5"/>
    <n v="6"/>
    <n v="4"/>
    <n v="5"/>
    <n v="4"/>
    <n v="5"/>
    <n v="5"/>
    <n v="6"/>
    <n v="6"/>
    <n v="3"/>
    <n v="7"/>
    <n v="6"/>
    <n v="95"/>
    <n v="4"/>
    <x v="2"/>
    <n v="0"/>
  </r>
  <r>
    <x v="20"/>
    <n v="20"/>
    <n v="1"/>
    <n v="6"/>
    <n v="6"/>
    <n v="4"/>
    <n v="5"/>
    <n v="5"/>
    <n v="7"/>
    <n v="5"/>
    <n v="6"/>
    <n v="4"/>
    <n v="5"/>
    <n v="4"/>
    <n v="5"/>
    <n v="5"/>
    <n v="6"/>
    <n v="6"/>
    <n v="3"/>
    <n v="7"/>
    <n v="6"/>
    <n v="95"/>
    <n v="4"/>
    <x v="3"/>
    <n v="7"/>
  </r>
  <r>
    <x v="20"/>
    <n v="20"/>
    <n v="1"/>
    <n v="6"/>
    <n v="6"/>
    <n v="4"/>
    <n v="5"/>
    <n v="5"/>
    <n v="7"/>
    <n v="5"/>
    <n v="6"/>
    <n v="4"/>
    <n v="5"/>
    <n v="4"/>
    <n v="5"/>
    <n v="5"/>
    <n v="6"/>
    <n v="6"/>
    <n v="3"/>
    <n v="7"/>
    <n v="6"/>
    <n v="95"/>
    <n v="4"/>
    <x v="4"/>
    <n v="7"/>
  </r>
  <r>
    <x v="20"/>
    <n v="20"/>
    <n v="1"/>
    <n v="6"/>
    <n v="6"/>
    <n v="4"/>
    <n v="5"/>
    <n v="5"/>
    <n v="7"/>
    <n v="5"/>
    <n v="6"/>
    <n v="4"/>
    <n v="5"/>
    <n v="4"/>
    <n v="5"/>
    <n v="5"/>
    <n v="6"/>
    <n v="6"/>
    <n v="3"/>
    <n v="7"/>
    <n v="6"/>
    <n v="95"/>
    <n v="4"/>
    <x v="5"/>
    <n v="1"/>
  </r>
  <r>
    <x v="20"/>
    <n v="20"/>
    <n v="1"/>
    <n v="6"/>
    <n v="6"/>
    <n v="4"/>
    <n v="5"/>
    <n v="5"/>
    <n v="7"/>
    <n v="5"/>
    <n v="6"/>
    <n v="4"/>
    <n v="5"/>
    <n v="4"/>
    <n v="5"/>
    <n v="5"/>
    <n v="6"/>
    <n v="6"/>
    <n v="3"/>
    <n v="7"/>
    <n v="6"/>
    <n v="95"/>
    <n v="4"/>
    <x v="6"/>
    <n v="0"/>
  </r>
  <r>
    <x v="23"/>
    <n v="25"/>
    <n v="2"/>
    <n v="6"/>
    <n v="5"/>
    <n v="4"/>
    <n v="4"/>
    <n v="7"/>
    <n v="4"/>
    <n v="5"/>
    <n v="6"/>
    <n v="7"/>
    <n v="6"/>
    <n v="6"/>
    <n v="5"/>
    <n v="4"/>
    <n v="6"/>
    <n v="6"/>
    <n v="3"/>
    <n v="4"/>
    <n v="7"/>
    <n v="95"/>
    <n v="-1"/>
    <x v="0"/>
    <n v="4"/>
  </r>
  <r>
    <x v="23"/>
    <n v="25"/>
    <n v="2"/>
    <n v="6"/>
    <n v="5"/>
    <n v="4"/>
    <n v="4"/>
    <n v="7"/>
    <n v="4"/>
    <n v="5"/>
    <n v="6"/>
    <n v="7"/>
    <n v="6"/>
    <n v="6"/>
    <n v="5"/>
    <n v="4"/>
    <n v="6"/>
    <n v="6"/>
    <n v="3"/>
    <n v="4"/>
    <n v="7"/>
    <n v="95"/>
    <n v="-1"/>
    <x v="1"/>
    <n v="1"/>
  </r>
  <r>
    <x v="23"/>
    <n v="25"/>
    <n v="2"/>
    <n v="6"/>
    <n v="5"/>
    <n v="4"/>
    <n v="4"/>
    <n v="7"/>
    <n v="4"/>
    <n v="5"/>
    <n v="6"/>
    <n v="7"/>
    <n v="6"/>
    <n v="6"/>
    <n v="5"/>
    <n v="4"/>
    <n v="6"/>
    <n v="6"/>
    <n v="3"/>
    <n v="4"/>
    <n v="7"/>
    <n v="95"/>
    <n v="-1"/>
    <x v="2"/>
    <n v="0"/>
  </r>
  <r>
    <x v="23"/>
    <n v="25"/>
    <n v="2"/>
    <n v="6"/>
    <n v="5"/>
    <n v="4"/>
    <n v="4"/>
    <n v="7"/>
    <n v="4"/>
    <n v="5"/>
    <n v="6"/>
    <n v="7"/>
    <n v="6"/>
    <n v="6"/>
    <n v="5"/>
    <n v="4"/>
    <n v="6"/>
    <n v="6"/>
    <n v="3"/>
    <n v="4"/>
    <n v="7"/>
    <n v="95"/>
    <n v="-1"/>
    <x v="3"/>
    <n v="5"/>
  </r>
  <r>
    <x v="23"/>
    <n v="25"/>
    <n v="2"/>
    <n v="6"/>
    <n v="5"/>
    <n v="4"/>
    <n v="4"/>
    <n v="7"/>
    <n v="4"/>
    <n v="5"/>
    <n v="6"/>
    <n v="7"/>
    <n v="6"/>
    <n v="6"/>
    <n v="5"/>
    <n v="4"/>
    <n v="6"/>
    <n v="6"/>
    <n v="3"/>
    <n v="4"/>
    <n v="7"/>
    <n v="95"/>
    <n v="-1"/>
    <x v="4"/>
    <n v="4"/>
  </r>
  <r>
    <x v="23"/>
    <n v="25"/>
    <n v="2"/>
    <n v="6"/>
    <n v="5"/>
    <n v="4"/>
    <n v="4"/>
    <n v="7"/>
    <n v="4"/>
    <n v="5"/>
    <n v="6"/>
    <n v="7"/>
    <n v="6"/>
    <n v="6"/>
    <n v="5"/>
    <n v="4"/>
    <n v="6"/>
    <n v="6"/>
    <n v="3"/>
    <n v="4"/>
    <n v="7"/>
    <n v="95"/>
    <n v="-1"/>
    <x v="5"/>
    <n v="4"/>
  </r>
  <r>
    <x v="23"/>
    <n v="25"/>
    <n v="2"/>
    <n v="6"/>
    <n v="5"/>
    <n v="4"/>
    <n v="4"/>
    <n v="7"/>
    <n v="4"/>
    <n v="5"/>
    <n v="6"/>
    <n v="7"/>
    <n v="6"/>
    <n v="6"/>
    <n v="5"/>
    <n v="4"/>
    <n v="6"/>
    <n v="6"/>
    <n v="3"/>
    <n v="4"/>
    <n v="7"/>
    <n v="95"/>
    <n v="-1"/>
    <x v="6"/>
    <n v="0"/>
  </r>
  <r>
    <x v="25"/>
    <n v="27"/>
    <n v="1"/>
    <n v="10"/>
    <n v="5"/>
    <n v="5"/>
    <n v="5"/>
    <n v="5"/>
    <n v="4"/>
    <n v="5"/>
    <n v="3"/>
    <n v="5"/>
    <n v="4"/>
    <n v="4"/>
    <n v="8"/>
    <n v="5"/>
    <n v="7"/>
    <n v="5"/>
    <n v="3"/>
    <n v="5"/>
    <n v="7"/>
    <n v="95"/>
    <n v="-3"/>
    <x v="0"/>
    <n v="2"/>
  </r>
  <r>
    <x v="25"/>
    <n v="27"/>
    <n v="1"/>
    <n v="10"/>
    <n v="5"/>
    <n v="5"/>
    <n v="5"/>
    <n v="5"/>
    <n v="4"/>
    <n v="5"/>
    <n v="3"/>
    <n v="5"/>
    <n v="4"/>
    <n v="4"/>
    <n v="8"/>
    <n v="5"/>
    <n v="7"/>
    <n v="5"/>
    <n v="3"/>
    <n v="5"/>
    <n v="7"/>
    <n v="95"/>
    <n v="-3"/>
    <x v="1"/>
    <n v="2"/>
  </r>
  <r>
    <x v="25"/>
    <n v="27"/>
    <n v="1"/>
    <n v="10"/>
    <n v="5"/>
    <n v="5"/>
    <n v="5"/>
    <n v="5"/>
    <n v="4"/>
    <n v="5"/>
    <n v="3"/>
    <n v="5"/>
    <n v="4"/>
    <n v="4"/>
    <n v="8"/>
    <n v="5"/>
    <n v="7"/>
    <n v="5"/>
    <n v="3"/>
    <n v="5"/>
    <n v="7"/>
    <n v="95"/>
    <n v="-3"/>
    <x v="2"/>
    <n v="0"/>
  </r>
  <r>
    <x v="25"/>
    <n v="27"/>
    <n v="1"/>
    <n v="10"/>
    <n v="5"/>
    <n v="5"/>
    <n v="5"/>
    <n v="5"/>
    <n v="4"/>
    <n v="5"/>
    <n v="3"/>
    <n v="5"/>
    <n v="4"/>
    <n v="4"/>
    <n v="8"/>
    <n v="5"/>
    <n v="7"/>
    <n v="5"/>
    <n v="3"/>
    <n v="5"/>
    <n v="7"/>
    <n v="95"/>
    <n v="-3"/>
    <x v="3"/>
    <n v="8"/>
  </r>
  <r>
    <x v="25"/>
    <n v="27"/>
    <n v="1"/>
    <n v="10"/>
    <n v="5"/>
    <n v="5"/>
    <n v="5"/>
    <n v="5"/>
    <n v="4"/>
    <n v="5"/>
    <n v="3"/>
    <n v="5"/>
    <n v="4"/>
    <n v="4"/>
    <n v="8"/>
    <n v="5"/>
    <n v="7"/>
    <n v="5"/>
    <n v="3"/>
    <n v="5"/>
    <n v="7"/>
    <n v="95"/>
    <n v="-3"/>
    <x v="4"/>
    <n v="3"/>
  </r>
  <r>
    <x v="25"/>
    <n v="27"/>
    <n v="1"/>
    <n v="10"/>
    <n v="5"/>
    <n v="5"/>
    <n v="5"/>
    <n v="5"/>
    <n v="4"/>
    <n v="5"/>
    <n v="3"/>
    <n v="5"/>
    <n v="4"/>
    <n v="4"/>
    <n v="8"/>
    <n v="5"/>
    <n v="7"/>
    <n v="5"/>
    <n v="3"/>
    <n v="5"/>
    <n v="7"/>
    <n v="95"/>
    <n v="-3"/>
    <x v="5"/>
    <n v="1"/>
  </r>
  <r>
    <x v="25"/>
    <n v="27"/>
    <n v="1"/>
    <n v="10"/>
    <n v="5"/>
    <n v="5"/>
    <n v="5"/>
    <n v="5"/>
    <n v="4"/>
    <n v="5"/>
    <n v="3"/>
    <n v="5"/>
    <n v="4"/>
    <n v="4"/>
    <n v="8"/>
    <n v="5"/>
    <n v="7"/>
    <n v="5"/>
    <n v="3"/>
    <n v="5"/>
    <n v="7"/>
    <n v="95"/>
    <n v="-3"/>
    <x v="6"/>
    <n v="2"/>
  </r>
  <r>
    <x v="26"/>
    <n v="28"/>
    <n v="1"/>
    <n v="6"/>
    <n v="7"/>
    <n v="6"/>
    <n v="5"/>
    <n v="5"/>
    <n v="5"/>
    <n v="4"/>
    <n v="5"/>
    <n v="6"/>
    <n v="7"/>
    <n v="5"/>
    <n v="5"/>
    <n v="4"/>
    <n v="6"/>
    <n v="5"/>
    <n v="4"/>
    <n v="4"/>
    <n v="6"/>
    <n v="95"/>
    <n v="-4"/>
    <x v="0"/>
    <n v="3"/>
  </r>
  <r>
    <x v="26"/>
    <n v="28"/>
    <n v="1"/>
    <n v="6"/>
    <n v="7"/>
    <n v="6"/>
    <n v="5"/>
    <n v="5"/>
    <n v="5"/>
    <n v="4"/>
    <n v="5"/>
    <n v="6"/>
    <n v="7"/>
    <n v="5"/>
    <n v="5"/>
    <n v="4"/>
    <n v="6"/>
    <n v="5"/>
    <n v="4"/>
    <n v="4"/>
    <n v="6"/>
    <n v="95"/>
    <n v="-4"/>
    <x v="1"/>
    <n v="0"/>
  </r>
  <r>
    <x v="26"/>
    <n v="28"/>
    <n v="1"/>
    <n v="6"/>
    <n v="7"/>
    <n v="6"/>
    <n v="5"/>
    <n v="5"/>
    <n v="5"/>
    <n v="4"/>
    <n v="5"/>
    <n v="6"/>
    <n v="7"/>
    <n v="5"/>
    <n v="5"/>
    <n v="4"/>
    <n v="6"/>
    <n v="5"/>
    <n v="4"/>
    <n v="4"/>
    <n v="6"/>
    <n v="95"/>
    <n v="-4"/>
    <x v="2"/>
    <n v="0"/>
  </r>
  <r>
    <x v="26"/>
    <n v="28"/>
    <n v="1"/>
    <n v="6"/>
    <n v="7"/>
    <n v="6"/>
    <n v="5"/>
    <n v="5"/>
    <n v="5"/>
    <n v="4"/>
    <n v="5"/>
    <n v="6"/>
    <n v="7"/>
    <n v="5"/>
    <n v="5"/>
    <n v="4"/>
    <n v="6"/>
    <n v="5"/>
    <n v="4"/>
    <n v="4"/>
    <n v="6"/>
    <n v="95"/>
    <n v="-4"/>
    <x v="3"/>
    <n v="8"/>
  </r>
  <r>
    <x v="26"/>
    <n v="28"/>
    <n v="1"/>
    <n v="6"/>
    <n v="7"/>
    <n v="6"/>
    <n v="5"/>
    <n v="5"/>
    <n v="5"/>
    <n v="4"/>
    <n v="5"/>
    <n v="6"/>
    <n v="7"/>
    <n v="5"/>
    <n v="5"/>
    <n v="4"/>
    <n v="6"/>
    <n v="5"/>
    <n v="4"/>
    <n v="4"/>
    <n v="6"/>
    <n v="95"/>
    <n v="-4"/>
    <x v="4"/>
    <n v="5"/>
  </r>
  <r>
    <x v="26"/>
    <n v="28"/>
    <n v="1"/>
    <n v="6"/>
    <n v="7"/>
    <n v="6"/>
    <n v="5"/>
    <n v="5"/>
    <n v="5"/>
    <n v="4"/>
    <n v="5"/>
    <n v="6"/>
    <n v="7"/>
    <n v="5"/>
    <n v="5"/>
    <n v="4"/>
    <n v="6"/>
    <n v="5"/>
    <n v="4"/>
    <n v="4"/>
    <n v="6"/>
    <n v="95"/>
    <n v="-4"/>
    <x v="5"/>
    <n v="2"/>
  </r>
  <r>
    <x v="26"/>
    <n v="28"/>
    <n v="1"/>
    <n v="6"/>
    <n v="7"/>
    <n v="6"/>
    <n v="5"/>
    <n v="5"/>
    <n v="5"/>
    <n v="4"/>
    <n v="5"/>
    <n v="6"/>
    <n v="7"/>
    <n v="5"/>
    <n v="5"/>
    <n v="4"/>
    <n v="6"/>
    <n v="5"/>
    <n v="4"/>
    <n v="4"/>
    <n v="6"/>
    <n v="95"/>
    <n v="-4"/>
    <x v="6"/>
    <n v="0"/>
  </r>
  <r>
    <x v="25"/>
    <n v="27"/>
    <n v="2"/>
    <n v="7"/>
    <n v="5"/>
    <n v="5"/>
    <n v="5"/>
    <n v="6"/>
    <n v="7"/>
    <n v="5"/>
    <n v="6"/>
    <n v="4"/>
    <n v="5"/>
    <n v="6"/>
    <n v="4"/>
    <n v="5"/>
    <n v="4"/>
    <n v="7"/>
    <n v="3"/>
    <n v="6"/>
    <n v="6"/>
    <n v="96"/>
    <n v="-2"/>
    <x v="0"/>
    <n v="3"/>
  </r>
  <r>
    <x v="25"/>
    <n v="27"/>
    <n v="2"/>
    <n v="7"/>
    <n v="5"/>
    <n v="5"/>
    <n v="5"/>
    <n v="6"/>
    <n v="7"/>
    <n v="5"/>
    <n v="6"/>
    <n v="4"/>
    <n v="5"/>
    <n v="6"/>
    <n v="4"/>
    <n v="5"/>
    <n v="4"/>
    <n v="7"/>
    <n v="3"/>
    <n v="6"/>
    <n v="6"/>
    <n v="96"/>
    <n v="-2"/>
    <x v="1"/>
    <n v="1"/>
  </r>
  <r>
    <x v="25"/>
    <n v="27"/>
    <n v="2"/>
    <n v="7"/>
    <n v="5"/>
    <n v="5"/>
    <n v="5"/>
    <n v="6"/>
    <n v="7"/>
    <n v="5"/>
    <n v="6"/>
    <n v="4"/>
    <n v="5"/>
    <n v="6"/>
    <n v="4"/>
    <n v="5"/>
    <n v="4"/>
    <n v="7"/>
    <n v="3"/>
    <n v="6"/>
    <n v="6"/>
    <n v="96"/>
    <n v="-2"/>
    <x v="2"/>
    <n v="0"/>
  </r>
  <r>
    <x v="25"/>
    <n v="27"/>
    <n v="2"/>
    <n v="7"/>
    <n v="5"/>
    <n v="5"/>
    <n v="5"/>
    <n v="6"/>
    <n v="7"/>
    <n v="5"/>
    <n v="6"/>
    <n v="4"/>
    <n v="5"/>
    <n v="6"/>
    <n v="4"/>
    <n v="5"/>
    <n v="4"/>
    <n v="7"/>
    <n v="3"/>
    <n v="6"/>
    <n v="6"/>
    <n v="96"/>
    <n v="-2"/>
    <x v="3"/>
    <n v="4"/>
  </r>
  <r>
    <x v="25"/>
    <n v="27"/>
    <n v="2"/>
    <n v="7"/>
    <n v="5"/>
    <n v="5"/>
    <n v="5"/>
    <n v="6"/>
    <n v="7"/>
    <n v="5"/>
    <n v="6"/>
    <n v="4"/>
    <n v="5"/>
    <n v="6"/>
    <n v="4"/>
    <n v="5"/>
    <n v="4"/>
    <n v="7"/>
    <n v="3"/>
    <n v="6"/>
    <n v="6"/>
    <n v="96"/>
    <n v="-2"/>
    <x v="4"/>
    <n v="8"/>
  </r>
  <r>
    <x v="25"/>
    <n v="27"/>
    <n v="2"/>
    <n v="7"/>
    <n v="5"/>
    <n v="5"/>
    <n v="5"/>
    <n v="6"/>
    <n v="7"/>
    <n v="5"/>
    <n v="6"/>
    <n v="4"/>
    <n v="5"/>
    <n v="6"/>
    <n v="4"/>
    <n v="5"/>
    <n v="4"/>
    <n v="7"/>
    <n v="3"/>
    <n v="6"/>
    <n v="6"/>
    <n v="96"/>
    <n v="-2"/>
    <x v="5"/>
    <n v="2"/>
  </r>
  <r>
    <x v="25"/>
    <n v="27"/>
    <n v="2"/>
    <n v="7"/>
    <n v="5"/>
    <n v="5"/>
    <n v="5"/>
    <n v="6"/>
    <n v="7"/>
    <n v="5"/>
    <n v="6"/>
    <n v="4"/>
    <n v="5"/>
    <n v="6"/>
    <n v="4"/>
    <n v="5"/>
    <n v="4"/>
    <n v="7"/>
    <n v="3"/>
    <n v="6"/>
    <n v="6"/>
    <n v="96"/>
    <n v="-2"/>
    <x v="6"/>
    <n v="0"/>
  </r>
  <r>
    <x v="9"/>
    <n v="12"/>
    <n v="1"/>
    <n v="5"/>
    <n v="4"/>
    <n v="6"/>
    <n v="4"/>
    <n v="6"/>
    <n v="6"/>
    <n v="4"/>
    <n v="4"/>
    <n v="3"/>
    <n v="8"/>
    <n v="5"/>
    <n v="6"/>
    <n v="6"/>
    <n v="10"/>
    <n v="5"/>
    <n v="2"/>
    <n v="5"/>
    <n v="8"/>
    <n v="97"/>
    <n v="14"/>
    <x v="0"/>
    <n v="3"/>
  </r>
  <r>
    <x v="9"/>
    <n v="12"/>
    <n v="1"/>
    <n v="5"/>
    <n v="4"/>
    <n v="6"/>
    <n v="4"/>
    <n v="6"/>
    <n v="6"/>
    <n v="4"/>
    <n v="4"/>
    <n v="3"/>
    <n v="8"/>
    <n v="5"/>
    <n v="6"/>
    <n v="6"/>
    <n v="10"/>
    <n v="5"/>
    <n v="2"/>
    <n v="5"/>
    <n v="8"/>
    <n v="97"/>
    <n v="14"/>
    <x v="1"/>
    <n v="2"/>
  </r>
  <r>
    <x v="9"/>
    <n v="12"/>
    <n v="1"/>
    <n v="5"/>
    <n v="4"/>
    <n v="6"/>
    <n v="4"/>
    <n v="6"/>
    <n v="6"/>
    <n v="4"/>
    <n v="4"/>
    <n v="3"/>
    <n v="8"/>
    <n v="5"/>
    <n v="6"/>
    <n v="6"/>
    <n v="10"/>
    <n v="5"/>
    <n v="2"/>
    <n v="5"/>
    <n v="8"/>
    <n v="97"/>
    <n v="14"/>
    <x v="2"/>
    <n v="0"/>
  </r>
  <r>
    <x v="9"/>
    <n v="12"/>
    <n v="1"/>
    <n v="5"/>
    <n v="4"/>
    <n v="6"/>
    <n v="4"/>
    <n v="6"/>
    <n v="6"/>
    <n v="4"/>
    <n v="4"/>
    <n v="3"/>
    <n v="8"/>
    <n v="5"/>
    <n v="6"/>
    <n v="6"/>
    <n v="10"/>
    <n v="5"/>
    <n v="2"/>
    <n v="5"/>
    <n v="8"/>
    <n v="97"/>
    <n v="14"/>
    <x v="3"/>
    <n v="5"/>
  </r>
  <r>
    <x v="9"/>
    <n v="12"/>
    <n v="1"/>
    <n v="5"/>
    <n v="4"/>
    <n v="6"/>
    <n v="4"/>
    <n v="6"/>
    <n v="6"/>
    <n v="4"/>
    <n v="4"/>
    <n v="3"/>
    <n v="8"/>
    <n v="5"/>
    <n v="6"/>
    <n v="6"/>
    <n v="10"/>
    <n v="5"/>
    <n v="2"/>
    <n v="5"/>
    <n v="8"/>
    <n v="97"/>
    <n v="14"/>
    <x v="4"/>
    <n v="5"/>
  </r>
  <r>
    <x v="9"/>
    <n v="12"/>
    <n v="1"/>
    <n v="5"/>
    <n v="4"/>
    <n v="6"/>
    <n v="4"/>
    <n v="6"/>
    <n v="6"/>
    <n v="4"/>
    <n v="4"/>
    <n v="3"/>
    <n v="8"/>
    <n v="5"/>
    <n v="6"/>
    <n v="6"/>
    <n v="10"/>
    <n v="5"/>
    <n v="2"/>
    <n v="5"/>
    <n v="8"/>
    <n v="97"/>
    <n v="14"/>
    <x v="5"/>
    <n v="0"/>
  </r>
  <r>
    <x v="9"/>
    <n v="12"/>
    <n v="1"/>
    <n v="5"/>
    <n v="4"/>
    <n v="6"/>
    <n v="4"/>
    <n v="6"/>
    <n v="6"/>
    <n v="4"/>
    <n v="4"/>
    <n v="3"/>
    <n v="8"/>
    <n v="5"/>
    <n v="6"/>
    <n v="6"/>
    <n v="10"/>
    <n v="5"/>
    <n v="2"/>
    <n v="5"/>
    <n v="8"/>
    <n v="97"/>
    <n v="14"/>
    <x v="6"/>
    <n v="3"/>
  </r>
  <r>
    <x v="27"/>
    <n v="23"/>
    <n v="2"/>
    <n v="6"/>
    <n v="5"/>
    <n v="5"/>
    <n v="5"/>
    <n v="7"/>
    <n v="4"/>
    <n v="4"/>
    <n v="4"/>
    <n v="8"/>
    <n v="10"/>
    <n v="4"/>
    <n v="4"/>
    <n v="5"/>
    <n v="7"/>
    <n v="5"/>
    <n v="3"/>
    <n v="5"/>
    <n v="6"/>
    <n v="97"/>
    <n v="3"/>
    <x v="0"/>
    <n v="3"/>
  </r>
  <r>
    <x v="27"/>
    <n v="23"/>
    <n v="2"/>
    <n v="6"/>
    <n v="5"/>
    <n v="5"/>
    <n v="5"/>
    <n v="7"/>
    <n v="4"/>
    <n v="4"/>
    <n v="4"/>
    <n v="8"/>
    <n v="10"/>
    <n v="4"/>
    <n v="4"/>
    <n v="5"/>
    <n v="7"/>
    <n v="5"/>
    <n v="3"/>
    <n v="5"/>
    <n v="6"/>
    <n v="97"/>
    <n v="3"/>
    <x v="1"/>
    <n v="1"/>
  </r>
  <r>
    <x v="27"/>
    <n v="23"/>
    <n v="2"/>
    <n v="6"/>
    <n v="5"/>
    <n v="5"/>
    <n v="5"/>
    <n v="7"/>
    <n v="4"/>
    <n v="4"/>
    <n v="4"/>
    <n v="8"/>
    <n v="10"/>
    <n v="4"/>
    <n v="4"/>
    <n v="5"/>
    <n v="7"/>
    <n v="5"/>
    <n v="3"/>
    <n v="5"/>
    <n v="6"/>
    <n v="97"/>
    <n v="3"/>
    <x v="2"/>
    <n v="0"/>
  </r>
  <r>
    <x v="27"/>
    <n v="23"/>
    <n v="2"/>
    <n v="6"/>
    <n v="5"/>
    <n v="5"/>
    <n v="5"/>
    <n v="7"/>
    <n v="4"/>
    <n v="4"/>
    <n v="4"/>
    <n v="8"/>
    <n v="10"/>
    <n v="4"/>
    <n v="4"/>
    <n v="5"/>
    <n v="7"/>
    <n v="5"/>
    <n v="3"/>
    <n v="5"/>
    <n v="6"/>
    <n v="97"/>
    <n v="3"/>
    <x v="3"/>
    <n v="8"/>
  </r>
  <r>
    <x v="27"/>
    <n v="23"/>
    <n v="2"/>
    <n v="6"/>
    <n v="5"/>
    <n v="5"/>
    <n v="5"/>
    <n v="7"/>
    <n v="4"/>
    <n v="4"/>
    <n v="4"/>
    <n v="8"/>
    <n v="10"/>
    <n v="4"/>
    <n v="4"/>
    <n v="5"/>
    <n v="7"/>
    <n v="5"/>
    <n v="3"/>
    <n v="5"/>
    <n v="6"/>
    <n v="97"/>
    <n v="3"/>
    <x v="4"/>
    <n v="3"/>
  </r>
  <r>
    <x v="27"/>
    <n v="23"/>
    <n v="2"/>
    <n v="6"/>
    <n v="5"/>
    <n v="5"/>
    <n v="5"/>
    <n v="7"/>
    <n v="4"/>
    <n v="4"/>
    <n v="4"/>
    <n v="8"/>
    <n v="10"/>
    <n v="4"/>
    <n v="4"/>
    <n v="5"/>
    <n v="7"/>
    <n v="5"/>
    <n v="3"/>
    <n v="5"/>
    <n v="6"/>
    <n v="97"/>
    <n v="3"/>
    <x v="5"/>
    <n v="1"/>
  </r>
  <r>
    <x v="27"/>
    <n v="23"/>
    <n v="2"/>
    <n v="6"/>
    <n v="5"/>
    <n v="5"/>
    <n v="5"/>
    <n v="7"/>
    <n v="4"/>
    <n v="4"/>
    <n v="4"/>
    <n v="8"/>
    <n v="10"/>
    <n v="4"/>
    <n v="4"/>
    <n v="5"/>
    <n v="7"/>
    <n v="5"/>
    <n v="3"/>
    <n v="5"/>
    <n v="6"/>
    <n v="97"/>
    <n v="3"/>
    <x v="6"/>
    <n v="2"/>
  </r>
  <r>
    <x v="28"/>
    <n v="30"/>
    <n v="1"/>
    <n v="9"/>
    <n v="6"/>
    <n v="5"/>
    <n v="3"/>
    <n v="5"/>
    <n v="6"/>
    <n v="4"/>
    <n v="6"/>
    <n v="6"/>
    <n v="5"/>
    <n v="4"/>
    <n v="6"/>
    <n v="4"/>
    <n v="5"/>
    <n v="8"/>
    <n v="3"/>
    <n v="6"/>
    <n v="6"/>
    <n v="97"/>
    <n v="-4"/>
    <x v="0"/>
    <n v="4"/>
  </r>
  <r>
    <x v="28"/>
    <n v="30"/>
    <n v="1"/>
    <n v="9"/>
    <n v="6"/>
    <n v="5"/>
    <n v="3"/>
    <n v="5"/>
    <n v="6"/>
    <n v="4"/>
    <n v="6"/>
    <n v="6"/>
    <n v="5"/>
    <n v="4"/>
    <n v="6"/>
    <n v="4"/>
    <n v="5"/>
    <n v="8"/>
    <n v="3"/>
    <n v="6"/>
    <n v="6"/>
    <n v="97"/>
    <n v="-4"/>
    <x v="1"/>
    <n v="0"/>
  </r>
  <r>
    <x v="28"/>
    <n v="30"/>
    <n v="1"/>
    <n v="9"/>
    <n v="6"/>
    <n v="5"/>
    <n v="3"/>
    <n v="5"/>
    <n v="6"/>
    <n v="4"/>
    <n v="6"/>
    <n v="6"/>
    <n v="5"/>
    <n v="4"/>
    <n v="6"/>
    <n v="4"/>
    <n v="5"/>
    <n v="8"/>
    <n v="3"/>
    <n v="6"/>
    <n v="6"/>
    <n v="97"/>
    <n v="-4"/>
    <x v="2"/>
    <n v="0"/>
  </r>
  <r>
    <x v="28"/>
    <n v="30"/>
    <n v="1"/>
    <n v="9"/>
    <n v="6"/>
    <n v="5"/>
    <n v="3"/>
    <n v="5"/>
    <n v="6"/>
    <n v="4"/>
    <n v="6"/>
    <n v="6"/>
    <n v="5"/>
    <n v="4"/>
    <n v="6"/>
    <n v="4"/>
    <n v="5"/>
    <n v="8"/>
    <n v="3"/>
    <n v="6"/>
    <n v="6"/>
    <n v="97"/>
    <n v="-4"/>
    <x v="3"/>
    <n v="6"/>
  </r>
  <r>
    <x v="28"/>
    <n v="30"/>
    <n v="1"/>
    <n v="9"/>
    <n v="6"/>
    <n v="5"/>
    <n v="3"/>
    <n v="5"/>
    <n v="6"/>
    <n v="4"/>
    <n v="6"/>
    <n v="6"/>
    <n v="5"/>
    <n v="4"/>
    <n v="6"/>
    <n v="4"/>
    <n v="5"/>
    <n v="8"/>
    <n v="3"/>
    <n v="6"/>
    <n v="6"/>
    <n v="97"/>
    <n v="-4"/>
    <x v="4"/>
    <n v="6"/>
  </r>
  <r>
    <x v="28"/>
    <n v="30"/>
    <n v="1"/>
    <n v="9"/>
    <n v="6"/>
    <n v="5"/>
    <n v="3"/>
    <n v="5"/>
    <n v="6"/>
    <n v="4"/>
    <n v="6"/>
    <n v="6"/>
    <n v="5"/>
    <n v="4"/>
    <n v="6"/>
    <n v="4"/>
    <n v="5"/>
    <n v="8"/>
    <n v="3"/>
    <n v="6"/>
    <n v="6"/>
    <n v="97"/>
    <n v="-4"/>
    <x v="5"/>
    <n v="0"/>
  </r>
  <r>
    <x v="28"/>
    <n v="30"/>
    <n v="1"/>
    <n v="9"/>
    <n v="6"/>
    <n v="5"/>
    <n v="3"/>
    <n v="5"/>
    <n v="6"/>
    <n v="4"/>
    <n v="6"/>
    <n v="6"/>
    <n v="5"/>
    <n v="4"/>
    <n v="6"/>
    <n v="4"/>
    <n v="5"/>
    <n v="8"/>
    <n v="3"/>
    <n v="6"/>
    <n v="6"/>
    <n v="97"/>
    <n v="-4"/>
    <x v="6"/>
    <n v="2"/>
  </r>
  <r>
    <x v="28"/>
    <n v="30"/>
    <n v="2"/>
    <n v="6"/>
    <n v="7"/>
    <n v="6"/>
    <n v="5"/>
    <n v="6"/>
    <n v="5"/>
    <n v="4"/>
    <n v="5"/>
    <n v="6"/>
    <n v="6"/>
    <n v="4"/>
    <n v="5"/>
    <n v="5"/>
    <n v="7"/>
    <n v="5"/>
    <n v="3"/>
    <n v="7"/>
    <n v="6"/>
    <n v="98"/>
    <n v="-3"/>
    <x v="0"/>
    <n v="2"/>
  </r>
  <r>
    <x v="28"/>
    <n v="30"/>
    <n v="2"/>
    <n v="6"/>
    <n v="7"/>
    <n v="6"/>
    <n v="5"/>
    <n v="6"/>
    <n v="5"/>
    <n v="4"/>
    <n v="5"/>
    <n v="6"/>
    <n v="6"/>
    <n v="4"/>
    <n v="5"/>
    <n v="5"/>
    <n v="7"/>
    <n v="5"/>
    <n v="3"/>
    <n v="7"/>
    <n v="6"/>
    <n v="98"/>
    <n v="-3"/>
    <x v="1"/>
    <n v="0"/>
  </r>
  <r>
    <x v="28"/>
    <n v="30"/>
    <n v="2"/>
    <n v="6"/>
    <n v="7"/>
    <n v="6"/>
    <n v="5"/>
    <n v="6"/>
    <n v="5"/>
    <n v="4"/>
    <n v="5"/>
    <n v="6"/>
    <n v="6"/>
    <n v="4"/>
    <n v="5"/>
    <n v="5"/>
    <n v="7"/>
    <n v="5"/>
    <n v="3"/>
    <n v="7"/>
    <n v="6"/>
    <n v="98"/>
    <n v="-3"/>
    <x v="2"/>
    <n v="0"/>
  </r>
  <r>
    <x v="28"/>
    <n v="30"/>
    <n v="2"/>
    <n v="6"/>
    <n v="7"/>
    <n v="6"/>
    <n v="5"/>
    <n v="6"/>
    <n v="5"/>
    <n v="4"/>
    <n v="5"/>
    <n v="6"/>
    <n v="6"/>
    <n v="4"/>
    <n v="5"/>
    <n v="5"/>
    <n v="7"/>
    <n v="5"/>
    <n v="3"/>
    <n v="7"/>
    <n v="6"/>
    <n v="98"/>
    <n v="-3"/>
    <x v="3"/>
    <n v="7"/>
  </r>
  <r>
    <x v="28"/>
    <n v="30"/>
    <n v="2"/>
    <n v="6"/>
    <n v="7"/>
    <n v="6"/>
    <n v="5"/>
    <n v="6"/>
    <n v="5"/>
    <n v="4"/>
    <n v="5"/>
    <n v="6"/>
    <n v="6"/>
    <n v="4"/>
    <n v="5"/>
    <n v="5"/>
    <n v="7"/>
    <n v="5"/>
    <n v="3"/>
    <n v="7"/>
    <n v="6"/>
    <n v="98"/>
    <n v="-3"/>
    <x v="4"/>
    <n v="7"/>
  </r>
  <r>
    <x v="28"/>
    <n v="30"/>
    <n v="2"/>
    <n v="6"/>
    <n v="7"/>
    <n v="6"/>
    <n v="5"/>
    <n v="6"/>
    <n v="5"/>
    <n v="4"/>
    <n v="5"/>
    <n v="6"/>
    <n v="6"/>
    <n v="4"/>
    <n v="5"/>
    <n v="5"/>
    <n v="7"/>
    <n v="5"/>
    <n v="3"/>
    <n v="7"/>
    <n v="6"/>
    <n v="98"/>
    <n v="-3"/>
    <x v="5"/>
    <n v="2"/>
  </r>
  <r>
    <x v="28"/>
    <n v="30"/>
    <n v="2"/>
    <n v="6"/>
    <n v="7"/>
    <n v="6"/>
    <n v="5"/>
    <n v="6"/>
    <n v="5"/>
    <n v="4"/>
    <n v="5"/>
    <n v="6"/>
    <n v="6"/>
    <n v="4"/>
    <n v="5"/>
    <n v="5"/>
    <n v="7"/>
    <n v="5"/>
    <n v="3"/>
    <n v="7"/>
    <n v="6"/>
    <n v="98"/>
    <n v="-3"/>
    <x v="6"/>
    <n v="0"/>
  </r>
  <r>
    <x v="24"/>
    <n v="18"/>
    <n v="1"/>
    <n v="6"/>
    <n v="8"/>
    <n v="5"/>
    <n v="5"/>
    <n v="4"/>
    <n v="6"/>
    <n v="5"/>
    <n v="5"/>
    <n v="5"/>
    <n v="6"/>
    <n v="5"/>
    <n v="5"/>
    <n v="5"/>
    <n v="7"/>
    <n v="6"/>
    <n v="3"/>
    <n v="6"/>
    <n v="7"/>
    <n v="99"/>
    <n v="10"/>
    <x v="0"/>
    <n v="2"/>
  </r>
  <r>
    <x v="24"/>
    <n v="18"/>
    <n v="1"/>
    <n v="6"/>
    <n v="8"/>
    <n v="5"/>
    <n v="5"/>
    <n v="4"/>
    <n v="6"/>
    <n v="5"/>
    <n v="5"/>
    <n v="5"/>
    <n v="6"/>
    <n v="5"/>
    <n v="5"/>
    <n v="5"/>
    <n v="7"/>
    <n v="6"/>
    <n v="3"/>
    <n v="6"/>
    <n v="7"/>
    <n v="99"/>
    <n v="10"/>
    <x v="1"/>
    <n v="0"/>
  </r>
  <r>
    <x v="24"/>
    <n v="18"/>
    <n v="1"/>
    <n v="6"/>
    <n v="8"/>
    <n v="5"/>
    <n v="5"/>
    <n v="4"/>
    <n v="6"/>
    <n v="5"/>
    <n v="5"/>
    <n v="5"/>
    <n v="6"/>
    <n v="5"/>
    <n v="5"/>
    <n v="5"/>
    <n v="7"/>
    <n v="6"/>
    <n v="3"/>
    <n v="6"/>
    <n v="7"/>
    <n v="99"/>
    <n v="10"/>
    <x v="2"/>
    <n v="0"/>
  </r>
  <r>
    <x v="24"/>
    <n v="18"/>
    <n v="1"/>
    <n v="6"/>
    <n v="8"/>
    <n v="5"/>
    <n v="5"/>
    <n v="4"/>
    <n v="6"/>
    <n v="5"/>
    <n v="5"/>
    <n v="5"/>
    <n v="6"/>
    <n v="5"/>
    <n v="5"/>
    <n v="5"/>
    <n v="7"/>
    <n v="6"/>
    <n v="3"/>
    <n v="6"/>
    <n v="7"/>
    <n v="99"/>
    <n v="10"/>
    <x v="3"/>
    <n v="7"/>
  </r>
  <r>
    <x v="24"/>
    <n v="18"/>
    <n v="1"/>
    <n v="6"/>
    <n v="8"/>
    <n v="5"/>
    <n v="5"/>
    <n v="4"/>
    <n v="6"/>
    <n v="5"/>
    <n v="5"/>
    <n v="5"/>
    <n v="6"/>
    <n v="5"/>
    <n v="5"/>
    <n v="5"/>
    <n v="7"/>
    <n v="6"/>
    <n v="3"/>
    <n v="6"/>
    <n v="7"/>
    <n v="99"/>
    <n v="10"/>
    <x v="4"/>
    <n v="7"/>
  </r>
  <r>
    <x v="24"/>
    <n v="18"/>
    <n v="1"/>
    <n v="6"/>
    <n v="8"/>
    <n v="5"/>
    <n v="5"/>
    <n v="4"/>
    <n v="6"/>
    <n v="5"/>
    <n v="5"/>
    <n v="5"/>
    <n v="6"/>
    <n v="5"/>
    <n v="5"/>
    <n v="5"/>
    <n v="7"/>
    <n v="6"/>
    <n v="3"/>
    <n v="6"/>
    <n v="7"/>
    <n v="99"/>
    <n v="10"/>
    <x v="5"/>
    <n v="1"/>
  </r>
  <r>
    <x v="24"/>
    <n v="18"/>
    <n v="1"/>
    <n v="6"/>
    <n v="8"/>
    <n v="5"/>
    <n v="5"/>
    <n v="4"/>
    <n v="6"/>
    <n v="5"/>
    <n v="5"/>
    <n v="5"/>
    <n v="6"/>
    <n v="5"/>
    <n v="5"/>
    <n v="5"/>
    <n v="7"/>
    <n v="6"/>
    <n v="3"/>
    <n v="6"/>
    <n v="7"/>
    <n v="99"/>
    <n v="10"/>
    <x v="6"/>
    <n v="1"/>
  </r>
  <r>
    <x v="27"/>
    <n v="23"/>
    <n v="1"/>
    <n v="7"/>
    <n v="5"/>
    <n v="4"/>
    <n v="6"/>
    <n v="11"/>
    <n v="7"/>
    <n v="4"/>
    <n v="4"/>
    <n v="4"/>
    <n v="4"/>
    <n v="6"/>
    <n v="7"/>
    <n v="4"/>
    <n v="6"/>
    <n v="6"/>
    <n v="3"/>
    <n v="6"/>
    <n v="5"/>
    <n v="99"/>
    <n v="5"/>
    <x v="0"/>
    <n v="6"/>
  </r>
  <r>
    <x v="27"/>
    <n v="23"/>
    <n v="1"/>
    <n v="7"/>
    <n v="5"/>
    <n v="4"/>
    <n v="6"/>
    <n v="11"/>
    <n v="7"/>
    <n v="4"/>
    <n v="4"/>
    <n v="4"/>
    <n v="4"/>
    <n v="6"/>
    <n v="7"/>
    <n v="4"/>
    <n v="6"/>
    <n v="6"/>
    <n v="3"/>
    <n v="6"/>
    <n v="5"/>
    <n v="99"/>
    <n v="5"/>
    <x v="1"/>
    <n v="0"/>
  </r>
  <r>
    <x v="27"/>
    <n v="23"/>
    <n v="1"/>
    <n v="7"/>
    <n v="5"/>
    <n v="4"/>
    <n v="6"/>
    <n v="11"/>
    <n v="7"/>
    <n v="4"/>
    <n v="4"/>
    <n v="4"/>
    <n v="4"/>
    <n v="6"/>
    <n v="7"/>
    <n v="4"/>
    <n v="6"/>
    <n v="6"/>
    <n v="3"/>
    <n v="6"/>
    <n v="5"/>
    <n v="99"/>
    <n v="5"/>
    <x v="2"/>
    <n v="0"/>
  </r>
  <r>
    <x v="27"/>
    <n v="23"/>
    <n v="1"/>
    <n v="7"/>
    <n v="5"/>
    <n v="4"/>
    <n v="6"/>
    <n v="11"/>
    <n v="7"/>
    <n v="4"/>
    <n v="4"/>
    <n v="4"/>
    <n v="4"/>
    <n v="6"/>
    <n v="7"/>
    <n v="4"/>
    <n v="6"/>
    <n v="6"/>
    <n v="3"/>
    <n v="6"/>
    <n v="5"/>
    <n v="99"/>
    <n v="5"/>
    <x v="3"/>
    <n v="4"/>
  </r>
  <r>
    <x v="27"/>
    <n v="23"/>
    <n v="1"/>
    <n v="7"/>
    <n v="5"/>
    <n v="4"/>
    <n v="6"/>
    <n v="11"/>
    <n v="7"/>
    <n v="4"/>
    <n v="4"/>
    <n v="4"/>
    <n v="4"/>
    <n v="6"/>
    <n v="7"/>
    <n v="4"/>
    <n v="6"/>
    <n v="6"/>
    <n v="3"/>
    <n v="6"/>
    <n v="5"/>
    <n v="99"/>
    <n v="5"/>
    <x v="4"/>
    <n v="4"/>
  </r>
  <r>
    <x v="27"/>
    <n v="23"/>
    <n v="1"/>
    <n v="7"/>
    <n v="5"/>
    <n v="4"/>
    <n v="6"/>
    <n v="11"/>
    <n v="7"/>
    <n v="4"/>
    <n v="4"/>
    <n v="4"/>
    <n v="4"/>
    <n v="6"/>
    <n v="7"/>
    <n v="4"/>
    <n v="6"/>
    <n v="6"/>
    <n v="3"/>
    <n v="6"/>
    <n v="5"/>
    <n v="99"/>
    <n v="5"/>
    <x v="5"/>
    <n v="3"/>
  </r>
  <r>
    <x v="27"/>
    <n v="23"/>
    <n v="1"/>
    <n v="7"/>
    <n v="5"/>
    <n v="4"/>
    <n v="6"/>
    <n v="11"/>
    <n v="7"/>
    <n v="4"/>
    <n v="4"/>
    <n v="4"/>
    <n v="4"/>
    <n v="6"/>
    <n v="7"/>
    <n v="4"/>
    <n v="6"/>
    <n v="6"/>
    <n v="3"/>
    <n v="6"/>
    <n v="5"/>
    <n v="99"/>
    <n v="5"/>
    <x v="6"/>
    <n v="1"/>
  </r>
  <r>
    <x v="21"/>
    <n v="26"/>
    <n v="1"/>
    <n v="6"/>
    <n v="5"/>
    <n v="5"/>
    <n v="6"/>
    <n v="4"/>
    <n v="6"/>
    <n v="5"/>
    <n v="5"/>
    <n v="7"/>
    <n v="6"/>
    <n v="4"/>
    <n v="4"/>
    <n v="5"/>
    <n v="6"/>
    <n v="7"/>
    <n v="6"/>
    <n v="6"/>
    <n v="7"/>
    <n v="100"/>
    <n v="3"/>
    <x v="0"/>
    <n v="2"/>
  </r>
  <r>
    <x v="21"/>
    <n v="26"/>
    <n v="1"/>
    <n v="6"/>
    <n v="5"/>
    <n v="5"/>
    <n v="6"/>
    <n v="4"/>
    <n v="6"/>
    <n v="5"/>
    <n v="5"/>
    <n v="7"/>
    <n v="6"/>
    <n v="4"/>
    <n v="4"/>
    <n v="5"/>
    <n v="6"/>
    <n v="7"/>
    <n v="6"/>
    <n v="6"/>
    <n v="7"/>
    <n v="100"/>
    <n v="3"/>
    <x v="1"/>
    <n v="0"/>
  </r>
  <r>
    <x v="21"/>
    <n v="26"/>
    <n v="1"/>
    <n v="6"/>
    <n v="5"/>
    <n v="5"/>
    <n v="6"/>
    <n v="4"/>
    <n v="6"/>
    <n v="5"/>
    <n v="5"/>
    <n v="7"/>
    <n v="6"/>
    <n v="4"/>
    <n v="4"/>
    <n v="5"/>
    <n v="6"/>
    <n v="7"/>
    <n v="6"/>
    <n v="6"/>
    <n v="7"/>
    <n v="100"/>
    <n v="3"/>
    <x v="2"/>
    <n v="0"/>
  </r>
  <r>
    <x v="21"/>
    <n v="26"/>
    <n v="1"/>
    <n v="6"/>
    <n v="5"/>
    <n v="5"/>
    <n v="6"/>
    <n v="4"/>
    <n v="6"/>
    <n v="5"/>
    <n v="5"/>
    <n v="7"/>
    <n v="6"/>
    <n v="4"/>
    <n v="4"/>
    <n v="5"/>
    <n v="6"/>
    <n v="7"/>
    <n v="6"/>
    <n v="6"/>
    <n v="7"/>
    <n v="100"/>
    <n v="3"/>
    <x v="3"/>
    <n v="8"/>
  </r>
  <r>
    <x v="21"/>
    <n v="26"/>
    <n v="1"/>
    <n v="6"/>
    <n v="5"/>
    <n v="5"/>
    <n v="6"/>
    <n v="4"/>
    <n v="6"/>
    <n v="5"/>
    <n v="5"/>
    <n v="7"/>
    <n v="6"/>
    <n v="4"/>
    <n v="4"/>
    <n v="5"/>
    <n v="6"/>
    <n v="7"/>
    <n v="6"/>
    <n v="6"/>
    <n v="7"/>
    <n v="100"/>
    <n v="3"/>
    <x v="4"/>
    <n v="3"/>
  </r>
  <r>
    <x v="21"/>
    <n v="26"/>
    <n v="1"/>
    <n v="6"/>
    <n v="5"/>
    <n v="5"/>
    <n v="6"/>
    <n v="4"/>
    <n v="6"/>
    <n v="5"/>
    <n v="5"/>
    <n v="7"/>
    <n v="6"/>
    <n v="4"/>
    <n v="4"/>
    <n v="5"/>
    <n v="6"/>
    <n v="7"/>
    <n v="6"/>
    <n v="6"/>
    <n v="7"/>
    <n v="100"/>
    <n v="3"/>
    <x v="5"/>
    <n v="5"/>
  </r>
  <r>
    <x v="21"/>
    <n v="26"/>
    <n v="1"/>
    <n v="6"/>
    <n v="5"/>
    <n v="5"/>
    <n v="6"/>
    <n v="4"/>
    <n v="6"/>
    <n v="5"/>
    <n v="5"/>
    <n v="7"/>
    <n v="6"/>
    <n v="4"/>
    <n v="4"/>
    <n v="5"/>
    <n v="6"/>
    <n v="7"/>
    <n v="6"/>
    <n v="6"/>
    <n v="7"/>
    <n v="100"/>
    <n v="3"/>
    <x v="6"/>
    <n v="0"/>
  </r>
  <r>
    <x v="22"/>
    <n v="22"/>
    <n v="1"/>
    <n v="9"/>
    <n v="6"/>
    <n v="4"/>
    <n v="4"/>
    <n v="4"/>
    <n v="6"/>
    <n v="5"/>
    <n v="7"/>
    <n v="7"/>
    <n v="6"/>
    <n v="4"/>
    <n v="5"/>
    <n v="4"/>
    <n v="8"/>
    <n v="5"/>
    <n v="4"/>
    <n v="6"/>
    <n v="7"/>
    <n v="101"/>
    <n v="8"/>
    <x v="0"/>
    <n v="3"/>
  </r>
  <r>
    <x v="22"/>
    <n v="22"/>
    <n v="1"/>
    <n v="9"/>
    <n v="6"/>
    <n v="4"/>
    <n v="4"/>
    <n v="4"/>
    <n v="6"/>
    <n v="5"/>
    <n v="7"/>
    <n v="7"/>
    <n v="6"/>
    <n v="4"/>
    <n v="5"/>
    <n v="4"/>
    <n v="8"/>
    <n v="5"/>
    <n v="4"/>
    <n v="6"/>
    <n v="7"/>
    <n v="101"/>
    <n v="8"/>
    <x v="1"/>
    <n v="0"/>
  </r>
  <r>
    <x v="22"/>
    <n v="22"/>
    <n v="1"/>
    <n v="9"/>
    <n v="6"/>
    <n v="4"/>
    <n v="4"/>
    <n v="4"/>
    <n v="6"/>
    <n v="5"/>
    <n v="7"/>
    <n v="7"/>
    <n v="6"/>
    <n v="4"/>
    <n v="5"/>
    <n v="4"/>
    <n v="8"/>
    <n v="5"/>
    <n v="4"/>
    <n v="6"/>
    <n v="7"/>
    <n v="101"/>
    <n v="8"/>
    <x v="2"/>
    <n v="0"/>
  </r>
  <r>
    <x v="22"/>
    <n v="22"/>
    <n v="1"/>
    <n v="9"/>
    <n v="6"/>
    <n v="4"/>
    <n v="4"/>
    <n v="4"/>
    <n v="6"/>
    <n v="5"/>
    <n v="7"/>
    <n v="7"/>
    <n v="6"/>
    <n v="4"/>
    <n v="5"/>
    <n v="4"/>
    <n v="8"/>
    <n v="5"/>
    <n v="4"/>
    <n v="6"/>
    <n v="7"/>
    <n v="101"/>
    <n v="8"/>
    <x v="3"/>
    <n v="6"/>
  </r>
  <r>
    <x v="22"/>
    <n v="22"/>
    <n v="1"/>
    <n v="9"/>
    <n v="6"/>
    <n v="4"/>
    <n v="4"/>
    <n v="4"/>
    <n v="6"/>
    <n v="5"/>
    <n v="7"/>
    <n v="7"/>
    <n v="6"/>
    <n v="4"/>
    <n v="5"/>
    <n v="4"/>
    <n v="8"/>
    <n v="5"/>
    <n v="4"/>
    <n v="6"/>
    <n v="7"/>
    <n v="101"/>
    <n v="8"/>
    <x v="4"/>
    <n v="4"/>
  </r>
  <r>
    <x v="22"/>
    <n v="22"/>
    <n v="1"/>
    <n v="9"/>
    <n v="6"/>
    <n v="4"/>
    <n v="4"/>
    <n v="4"/>
    <n v="6"/>
    <n v="5"/>
    <n v="7"/>
    <n v="7"/>
    <n v="6"/>
    <n v="4"/>
    <n v="5"/>
    <n v="4"/>
    <n v="8"/>
    <n v="5"/>
    <n v="4"/>
    <n v="6"/>
    <n v="7"/>
    <n v="101"/>
    <n v="8"/>
    <x v="5"/>
    <n v="4"/>
  </r>
  <r>
    <x v="22"/>
    <n v="22"/>
    <n v="1"/>
    <n v="9"/>
    <n v="6"/>
    <n v="4"/>
    <n v="4"/>
    <n v="4"/>
    <n v="6"/>
    <n v="5"/>
    <n v="7"/>
    <n v="7"/>
    <n v="6"/>
    <n v="4"/>
    <n v="5"/>
    <n v="4"/>
    <n v="8"/>
    <n v="5"/>
    <n v="4"/>
    <n v="6"/>
    <n v="7"/>
    <n v="101"/>
    <n v="8"/>
    <x v="6"/>
    <n v="1"/>
  </r>
  <r>
    <x v="26"/>
    <n v="28"/>
    <n v="2"/>
    <n v="8"/>
    <n v="8"/>
    <n v="4"/>
    <n v="3"/>
    <n v="6"/>
    <n v="6"/>
    <n v="3"/>
    <n v="6"/>
    <n v="5"/>
    <n v="6"/>
    <n v="5"/>
    <n v="6"/>
    <n v="8"/>
    <n v="7"/>
    <n v="4"/>
    <n v="5"/>
    <n v="7"/>
    <n v="8"/>
    <n v="105"/>
    <n v="6"/>
    <x v="0"/>
    <n v="4"/>
  </r>
  <r>
    <x v="26"/>
    <n v="28"/>
    <n v="2"/>
    <n v="8"/>
    <n v="8"/>
    <n v="4"/>
    <n v="3"/>
    <n v="6"/>
    <n v="6"/>
    <n v="3"/>
    <n v="6"/>
    <n v="5"/>
    <n v="6"/>
    <n v="5"/>
    <n v="6"/>
    <n v="8"/>
    <n v="7"/>
    <n v="4"/>
    <n v="5"/>
    <n v="7"/>
    <n v="8"/>
    <n v="105"/>
    <n v="6"/>
    <x v="1"/>
    <n v="0"/>
  </r>
  <r>
    <x v="26"/>
    <n v="28"/>
    <n v="2"/>
    <n v="8"/>
    <n v="8"/>
    <n v="4"/>
    <n v="3"/>
    <n v="6"/>
    <n v="6"/>
    <n v="3"/>
    <n v="6"/>
    <n v="5"/>
    <n v="6"/>
    <n v="5"/>
    <n v="6"/>
    <n v="8"/>
    <n v="7"/>
    <n v="4"/>
    <n v="5"/>
    <n v="7"/>
    <n v="8"/>
    <n v="105"/>
    <n v="6"/>
    <x v="2"/>
    <n v="0"/>
  </r>
  <r>
    <x v="26"/>
    <n v="28"/>
    <n v="2"/>
    <n v="8"/>
    <n v="8"/>
    <n v="4"/>
    <n v="3"/>
    <n v="6"/>
    <n v="6"/>
    <n v="3"/>
    <n v="6"/>
    <n v="5"/>
    <n v="6"/>
    <n v="5"/>
    <n v="6"/>
    <n v="8"/>
    <n v="7"/>
    <n v="4"/>
    <n v="5"/>
    <n v="7"/>
    <n v="8"/>
    <n v="105"/>
    <n v="6"/>
    <x v="3"/>
    <n v="2"/>
  </r>
  <r>
    <x v="26"/>
    <n v="28"/>
    <n v="2"/>
    <n v="8"/>
    <n v="8"/>
    <n v="4"/>
    <n v="3"/>
    <n v="6"/>
    <n v="6"/>
    <n v="3"/>
    <n v="6"/>
    <n v="5"/>
    <n v="6"/>
    <n v="5"/>
    <n v="6"/>
    <n v="8"/>
    <n v="7"/>
    <n v="4"/>
    <n v="5"/>
    <n v="7"/>
    <n v="8"/>
    <n v="105"/>
    <n v="6"/>
    <x v="4"/>
    <n v="7"/>
  </r>
  <r>
    <x v="26"/>
    <n v="28"/>
    <n v="2"/>
    <n v="8"/>
    <n v="8"/>
    <n v="4"/>
    <n v="3"/>
    <n v="6"/>
    <n v="6"/>
    <n v="3"/>
    <n v="6"/>
    <n v="5"/>
    <n v="6"/>
    <n v="5"/>
    <n v="6"/>
    <n v="8"/>
    <n v="7"/>
    <n v="4"/>
    <n v="5"/>
    <n v="7"/>
    <n v="8"/>
    <n v="105"/>
    <n v="6"/>
    <x v="5"/>
    <n v="2"/>
  </r>
  <r>
    <x v="26"/>
    <n v="28"/>
    <n v="2"/>
    <n v="8"/>
    <n v="8"/>
    <n v="4"/>
    <n v="3"/>
    <n v="6"/>
    <n v="6"/>
    <n v="3"/>
    <n v="6"/>
    <n v="5"/>
    <n v="6"/>
    <n v="5"/>
    <n v="6"/>
    <n v="8"/>
    <n v="7"/>
    <n v="4"/>
    <n v="5"/>
    <n v="7"/>
    <n v="8"/>
    <n v="105"/>
    <n v="6"/>
    <x v="6"/>
    <n v="3"/>
  </r>
  <r>
    <x v="29"/>
    <n v="30"/>
    <n v="2"/>
    <n v="6"/>
    <n v="8"/>
    <n v="5"/>
    <n v="3"/>
    <n v="8"/>
    <n v="8"/>
    <n v="4"/>
    <n v="4"/>
    <n v="5"/>
    <n v="7"/>
    <n v="4"/>
    <n v="7"/>
    <n v="7"/>
    <n v="6"/>
    <n v="7"/>
    <n v="3"/>
    <n v="8"/>
    <n v="6"/>
    <n v="106"/>
    <n v="5"/>
    <x v="0"/>
    <n v="3"/>
  </r>
  <r>
    <x v="29"/>
    <n v="30"/>
    <n v="2"/>
    <n v="6"/>
    <n v="8"/>
    <n v="5"/>
    <n v="3"/>
    <n v="8"/>
    <n v="8"/>
    <n v="4"/>
    <n v="4"/>
    <n v="5"/>
    <n v="7"/>
    <n v="4"/>
    <n v="7"/>
    <n v="7"/>
    <n v="6"/>
    <n v="7"/>
    <n v="3"/>
    <n v="8"/>
    <n v="6"/>
    <n v="106"/>
    <n v="5"/>
    <x v="1"/>
    <n v="0"/>
  </r>
  <r>
    <x v="29"/>
    <n v="30"/>
    <n v="2"/>
    <n v="6"/>
    <n v="8"/>
    <n v="5"/>
    <n v="3"/>
    <n v="8"/>
    <n v="8"/>
    <n v="4"/>
    <n v="4"/>
    <n v="5"/>
    <n v="7"/>
    <n v="4"/>
    <n v="7"/>
    <n v="7"/>
    <n v="6"/>
    <n v="7"/>
    <n v="3"/>
    <n v="8"/>
    <n v="6"/>
    <n v="106"/>
    <n v="5"/>
    <x v="2"/>
    <n v="0"/>
  </r>
  <r>
    <x v="29"/>
    <n v="30"/>
    <n v="2"/>
    <n v="6"/>
    <n v="8"/>
    <n v="5"/>
    <n v="3"/>
    <n v="8"/>
    <n v="8"/>
    <n v="4"/>
    <n v="4"/>
    <n v="5"/>
    <n v="7"/>
    <n v="4"/>
    <n v="7"/>
    <n v="7"/>
    <n v="6"/>
    <n v="7"/>
    <n v="3"/>
    <n v="8"/>
    <n v="6"/>
    <n v="106"/>
    <n v="5"/>
    <x v="3"/>
    <n v="6"/>
  </r>
  <r>
    <x v="29"/>
    <n v="30"/>
    <n v="2"/>
    <n v="6"/>
    <n v="8"/>
    <n v="5"/>
    <n v="3"/>
    <n v="8"/>
    <n v="8"/>
    <n v="4"/>
    <n v="4"/>
    <n v="5"/>
    <n v="7"/>
    <n v="4"/>
    <n v="7"/>
    <n v="7"/>
    <n v="6"/>
    <n v="7"/>
    <n v="3"/>
    <n v="8"/>
    <n v="6"/>
    <n v="106"/>
    <n v="5"/>
    <x v="4"/>
    <n v="1"/>
  </r>
  <r>
    <x v="29"/>
    <n v="30"/>
    <n v="2"/>
    <n v="6"/>
    <n v="8"/>
    <n v="5"/>
    <n v="3"/>
    <n v="8"/>
    <n v="8"/>
    <n v="4"/>
    <n v="4"/>
    <n v="5"/>
    <n v="7"/>
    <n v="4"/>
    <n v="7"/>
    <n v="7"/>
    <n v="6"/>
    <n v="7"/>
    <n v="3"/>
    <n v="8"/>
    <n v="6"/>
    <n v="106"/>
    <n v="5"/>
    <x v="5"/>
    <n v="5"/>
  </r>
  <r>
    <x v="29"/>
    <n v="30"/>
    <n v="2"/>
    <n v="6"/>
    <n v="8"/>
    <n v="5"/>
    <n v="3"/>
    <n v="8"/>
    <n v="8"/>
    <n v="4"/>
    <n v="4"/>
    <n v="5"/>
    <n v="7"/>
    <n v="4"/>
    <n v="7"/>
    <n v="7"/>
    <n v="6"/>
    <n v="7"/>
    <n v="3"/>
    <n v="8"/>
    <n v="6"/>
    <n v="106"/>
    <n v="5"/>
    <x v="6"/>
    <n v="3"/>
  </r>
  <r>
    <x v="30"/>
    <n v="40"/>
    <n v="2"/>
    <n v="7"/>
    <n v="7"/>
    <n v="6"/>
    <n v="5"/>
    <n v="6"/>
    <n v="6"/>
    <n v="4"/>
    <n v="4"/>
    <n v="7"/>
    <n v="8"/>
    <n v="3"/>
    <n v="6"/>
    <n v="6"/>
    <n v="7"/>
    <n v="7"/>
    <n v="3"/>
    <n v="7"/>
    <n v="7"/>
    <n v="106"/>
    <n v="-5"/>
    <x v="0"/>
    <n v="3"/>
  </r>
  <r>
    <x v="30"/>
    <n v="40"/>
    <n v="2"/>
    <n v="7"/>
    <n v="7"/>
    <n v="6"/>
    <n v="5"/>
    <n v="6"/>
    <n v="6"/>
    <n v="4"/>
    <n v="4"/>
    <n v="7"/>
    <n v="8"/>
    <n v="3"/>
    <n v="6"/>
    <n v="6"/>
    <n v="7"/>
    <n v="7"/>
    <n v="3"/>
    <n v="7"/>
    <n v="7"/>
    <n v="106"/>
    <n v="-5"/>
    <x v="1"/>
    <n v="0"/>
  </r>
  <r>
    <x v="30"/>
    <n v="40"/>
    <n v="2"/>
    <n v="7"/>
    <n v="7"/>
    <n v="6"/>
    <n v="5"/>
    <n v="6"/>
    <n v="6"/>
    <n v="4"/>
    <n v="4"/>
    <n v="7"/>
    <n v="8"/>
    <n v="3"/>
    <n v="6"/>
    <n v="6"/>
    <n v="7"/>
    <n v="7"/>
    <n v="3"/>
    <n v="7"/>
    <n v="7"/>
    <n v="106"/>
    <n v="-5"/>
    <x v="2"/>
    <n v="0"/>
  </r>
  <r>
    <x v="30"/>
    <n v="40"/>
    <n v="2"/>
    <n v="7"/>
    <n v="7"/>
    <n v="6"/>
    <n v="5"/>
    <n v="6"/>
    <n v="6"/>
    <n v="4"/>
    <n v="4"/>
    <n v="7"/>
    <n v="8"/>
    <n v="3"/>
    <n v="6"/>
    <n v="6"/>
    <n v="7"/>
    <n v="7"/>
    <n v="3"/>
    <n v="7"/>
    <n v="7"/>
    <n v="106"/>
    <n v="-5"/>
    <x v="3"/>
    <n v="2"/>
  </r>
  <r>
    <x v="30"/>
    <n v="40"/>
    <n v="2"/>
    <n v="7"/>
    <n v="7"/>
    <n v="6"/>
    <n v="5"/>
    <n v="6"/>
    <n v="6"/>
    <n v="4"/>
    <n v="4"/>
    <n v="7"/>
    <n v="8"/>
    <n v="3"/>
    <n v="6"/>
    <n v="6"/>
    <n v="7"/>
    <n v="7"/>
    <n v="3"/>
    <n v="7"/>
    <n v="7"/>
    <n v="106"/>
    <n v="-5"/>
    <x v="4"/>
    <n v="7"/>
  </r>
  <r>
    <x v="30"/>
    <n v="40"/>
    <n v="2"/>
    <n v="7"/>
    <n v="7"/>
    <n v="6"/>
    <n v="5"/>
    <n v="6"/>
    <n v="6"/>
    <n v="4"/>
    <n v="4"/>
    <n v="7"/>
    <n v="8"/>
    <n v="3"/>
    <n v="6"/>
    <n v="6"/>
    <n v="7"/>
    <n v="7"/>
    <n v="3"/>
    <n v="7"/>
    <n v="7"/>
    <n v="106"/>
    <n v="-5"/>
    <x v="5"/>
    <n v="5"/>
  </r>
  <r>
    <x v="30"/>
    <n v="40"/>
    <n v="2"/>
    <n v="7"/>
    <n v="7"/>
    <n v="6"/>
    <n v="5"/>
    <n v="6"/>
    <n v="6"/>
    <n v="4"/>
    <n v="4"/>
    <n v="7"/>
    <n v="8"/>
    <n v="3"/>
    <n v="6"/>
    <n v="6"/>
    <n v="7"/>
    <n v="7"/>
    <n v="3"/>
    <n v="7"/>
    <n v="7"/>
    <n v="106"/>
    <n v="-5"/>
    <x v="6"/>
    <n v="1"/>
  </r>
  <r>
    <x v="29"/>
    <n v="30"/>
    <n v="1"/>
    <n v="9"/>
    <n v="6"/>
    <n v="7"/>
    <n v="6"/>
    <n v="6"/>
    <n v="7"/>
    <n v="6"/>
    <n v="4"/>
    <n v="6"/>
    <n v="6"/>
    <n v="4"/>
    <n v="6"/>
    <n v="8"/>
    <n v="7"/>
    <n v="6"/>
    <n v="3"/>
    <n v="8"/>
    <n v="6"/>
    <n v="111"/>
    <n v="10"/>
    <x v="0"/>
    <n v="2"/>
  </r>
  <r>
    <x v="29"/>
    <n v="30"/>
    <n v="1"/>
    <n v="9"/>
    <n v="6"/>
    <n v="7"/>
    <n v="6"/>
    <n v="6"/>
    <n v="7"/>
    <n v="6"/>
    <n v="4"/>
    <n v="6"/>
    <n v="6"/>
    <n v="4"/>
    <n v="6"/>
    <n v="8"/>
    <n v="7"/>
    <n v="6"/>
    <n v="3"/>
    <n v="8"/>
    <n v="6"/>
    <n v="111"/>
    <n v="10"/>
    <x v="1"/>
    <n v="0"/>
  </r>
  <r>
    <x v="29"/>
    <n v="30"/>
    <n v="1"/>
    <n v="9"/>
    <n v="6"/>
    <n v="7"/>
    <n v="6"/>
    <n v="6"/>
    <n v="7"/>
    <n v="6"/>
    <n v="4"/>
    <n v="6"/>
    <n v="6"/>
    <n v="4"/>
    <n v="6"/>
    <n v="8"/>
    <n v="7"/>
    <n v="6"/>
    <n v="3"/>
    <n v="8"/>
    <n v="6"/>
    <n v="111"/>
    <n v="10"/>
    <x v="2"/>
    <n v="0"/>
  </r>
  <r>
    <x v="29"/>
    <n v="30"/>
    <n v="1"/>
    <n v="9"/>
    <n v="6"/>
    <n v="7"/>
    <n v="6"/>
    <n v="6"/>
    <n v="7"/>
    <n v="6"/>
    <n v="4"/>
    <n v="6"/>
    <n v="6"/>
    <n v="4"/>
    <n v="6"/>
    <n v="8"/>
    <n v="7"/>
    <n v="6"/>
    <n v="3"/>
    <n v="8"/>
    <n v="6"/>
    <n v="111"/>
    <n v="10"/>
    <x v="3"/>
    <n v="1"/>
  </r>
  <r>
    <x v="29"/>
    <n v="30"/>
    <n v="1"/>
    <n v="9"/>
    <n v="6"/>
    <n v="7"/>
    <n v="6"/>
    <n v="6"/>
    <n v="7"/>
    <n v="6"/>
    <n v="4"/>
    <n v="6"/>
    <n v="6"/>
    <n v="4"/>
    <n v="6"/>
    <n v="8"/>
    <n v="7"/>
    <n v="6"/>
    <n v="3"/>
    <n v="8"/>
    <n v="6"/>
    <n v="111"/>
    <n v="10"/>
    <x v="4"/>
    <n v="9"/>
  </r>
  <r>
    <x v="29"/>
    <n v="30"/>
    <n v="1"/>
    <n v="9"/>
    <n v="6"/>
    <n v="7"/>
    <n v="6"/>
    <n v="6"/>
    <n v="7"/>
    <n v="6"/>
    <n v="4"/>
    <n v="6"/>
    <n v="6"/>
    <n v="4"/>
    <n v="6"/>
    <n v="8"/>
    <n v="7"/>
    <n v="6"/>
    <n v="3"/>
    <n v="8"/>
    <n v="6"/>
    <n v="111"/>
    <n v="10"/>
    <x v="5"/>
    <n v="3"/>
  </r>
  <r>
    <x v="29"/>
    <n v="30"/>
    <n v="1"/>
    <n v="9"/>
    <n v="6"/>
    <n v="7"/>
    <n v="6"/>
    <n v="6"/>
    <n v="7"/>
    <n v="6"/>
    <n v="4"/>
    <n v="6"/>
    <n v="6"/>
    <n v="4"/>
    <n v="6"/>
    <n v="8"/>
    <n v="7"/>
    <n v="6"/>
    <n v="3"/>
    <n v="8"/>
    <n v="6"/>
    <n v="111"/>
    <n v="10"/>
    <x v="6"/>
    <n v="3"/>
  </r>
  <r>
    <x v="30"/>
    <n v="40"/>
    <n v="1"/>
    <n v="11"/>
    <n v="5"/>
    <n v="5"/>
    <n v="4"/>
    <n v="5"/>
    <n v="7"/>
    <n v="6"/>
    <n v="6"/>
    <n v="6"/>
    <n v="7"/>
    <n v="5"/>
    <n v="7"/>
    <n v="9"/>
    <n v="7"/>
    <n v="6"/>
    <n v="3"/>
    <n v="7"/>
    <n v="6"/>
    <n v="112"/>
    <n v="1"/>
    <x v="0"/>
    <n v="1"/>
  </r>
  <r>
    <x v="30"/>
    <n v="40"/>
    <n v="1"/>
    <n v="11"/>
    <n v="5"/>
    <n v="5"/>
    <n v="4"/>
    <n v="5"/>
    <n v="7"/>
    <n v="6"/>
    <n v="6"/>
    <n v="6"/>
    <n v="7"/>
    <n v="5"/>
    <n v="7"/>
    <n v="9"/>
    <n v="7"/>
    <n v="6"/>
    <n v="3"/>
    <n v="7"/>
    <n v="6"/>
    <n v="112"/>
    <n v="1"/>
    <x v="1"/>
    <n v="0"/>
  </r>
  <r>
    <x v="30"/>
    <n v="40"/>
    <n v="1"/>
    <n v="11"/>
    <n v="5"/>
    <n v="5"/>
    <n v="4"/>
    <n v="5"/>
    <n v="7"/>
    <n v="6"/>
    <n v="6"/>
    <n v="6"/>
    <n v="7"/>
    <n v="5"/>
    <n v="7"/>
    <n v="9"/>
    <n v="7"/>
    <n v="6"/>
    <n v="3"/>
    <n v="7"/>
    <n v="6"/>
    <n v="112"/>
    <n v="1"/>
    <x v="2"/>
    <n v="0"/>
  </r>
  <r>
    <x v="30"/>
    <n v="40"/>
    <n v="1"/>
    <n v="11"/>
    <n v="5"/>
    <n v="5"/>
    <n v="4"/>
    <n v="5"/>
    <n v="7"/>
    <n v="6"/>
    <n v="6"/>
    <n v="6"/>
    <n v="7"/>
    <n v="5"/>
    <n v="7"/>
    <n v="9"/>
    <n v="7"/>
    <n v="6"/>
    <n v="3"/>
    <n v="7"/>
    <n v="6"/>
    <n v="112"/>
    <n v="1"/>
    <x v="3"/>
    <n v="4"/>
  </r>
  <r>
    <x v="30"/>
    <n v="40"/>
    <n v="1"/>
    <n v="11"/>
    <n v="5"/>
    <n v="5"/>
    <n v="4"/>
    <n v="5"/>
    <n v="7"/>
    <n v="6"/>
    <n v="6"/>
    <n v="6"/>
    <n v="7"/>
    <n v="5"/>
    <n v="7"/>
    <n v="9"/>
    <n v="7"/>
    <n v="6"/>
    <n v="3"/>
    <n v="7"/>
    <n v="6"/>
    <n v="112"/>
    <n v="1"/>
    <x v="4"/>
    <n v="7"/>
  </r>
  <r>
    <x v="30"/>
    <n v="40"/>
    <n v="1"/>
    <n v="11"/>
    <n v="5"/>
    <n v="5"/>
    <n v="4"/>
    <n v="5"/>
    <n v="7"/>
    <n v="6"/>
    <n v="6"/>
    <n v="6"/>
    <n v="7"/>
    <n v="5"/>
    <n v="7"/>
    <n v="9"/>
    <n v="7"/>
    <n v="6"/>
    <n v="3"/>
    <n v="7"/>
    <n v="6"/>
    <n v="112"/>
    <n v="1"/>
    <x v="5"/>
    <n v="4"/>
  </r>
  <r>
    <x v="30"/>
    <n v="40"/>
    <n v="1"/>
    <n v="11"/>
    <n v="5"/>
    <n v="5"/>
    <n v="4"/>
    <n v="5"/>
    <n v="7"/>
    <n v="6"/>
    <n v="6"/>
    <n v="6"/>
    <n v="7"/>
    <n v="5"/>
    <n v="7"/>
    <n v="9"/>
    <n v="7"/>
    <n v="6"/>
    <n v="3"/>
    <n v="7"/>
    <n v="6"/>
    <n v="112"/>
    <n v="1"/>
    <x v="6"/>
    <n v="2"/>
  </r>
  <r>
    <x v="31"/>
    <n v="36"/>
    <n v="2"/>
    <n v="6"/>
    <n v="7"/>
    <n v="6"/>
    <n v="4"/>
    <n v="5"/>
    <n v="7"/>
    <n v="5"/>
    <n v="7"/>
    <n v="5"/>
    <n v="7"/>
    <n v="5"/>
    <n v="6"/>
    <n v="8"/>
    <n v="8"/>
    <n v="9"/>
    <n v="5"/>
    <n v="7"/>
    <n v="6"/>
    <n v="113"/>
    <n v="6"/>
    <x v="0"/>
    <n v="0"/>
  </r>
  <r>
    <x v="31"/>
    <n v="36"/>
    <n v="2"/>
    <n v="6"/>
    <n v="7"/>
    <n v="6"/>
    <n v="4"/>
    <n v="5"/>
    <n v="7"/>
    <n v="5"/>
    <n v="7"/>
    <n v="5"/>
    <n v="7"/>
    <n v="5"/>
    <n v="6"/>
    <n v="8"/>
    <n v="8"/>
    <n v="9"/>
    <n v="5"/>
    <n v="7"/>
    <n v="6"/>
    <n v="113"/>
    <n v="6"/>
    <x v="1"/>
    <n v="0"/>
  </r>
  <r>
    <x v="31"/>
    <n v="36"/>
    <n v="2"/>
    <n v="6"/>
    <n v="7"/>
    <n v="6"/>
    <n v="4"/>
    <n v="5"/>
    <n v="7"/>
    <n v="5"/>
    <n v="7"/>
    <n v="5"/>
    <n v="7"/>
    <n v="5"/>
    <n v="6"/>
    <n v="8"/>
    <n v="8"/>
    <n v="9"/>
    <n v="5"/>
    <n v="7"/>
    <n v="6"/>
    <n v="113"/>
    <n v="6"/>
    <x v="2"/>
    <n v="0"/>
  </r>
  <r>
    <x v="31"/>
    <n v="36"/>
    <n v="2"/>
    <n v="6"/>
    <n v="7"/>
    <n v="6"/>
    <n v="4"/>
    <n v="5"/>
    <n v="7"/>
    <n v="5"/>
    <n v="7"/>
    <n v="5"/>
    <n v="7"/>
    <n v="5"/>
    <n v="6"/>
    <n v="8"/>
    <n v="8"/>
    <n v="9"/>
    <n v="5"/>
    <n v="7"/>
    <n v="6"/>
    <n v="113"/>
    <n v="6"/>
    <x v="3"/>
    <n v="4"/>
  </r>
  <r>
    <x v="31"/>
    <n v="36"/>
    <n v="2"/>
    <n v="6"/>
    <n v="7"/>
    <n v="6"/>
    <n v="4"/>
    <n v="5"/>
    <n v="7"/>
    <n v="5"/>
    <n v="7"/>
    <n v="5"/>
    <n v="7"/>
    <n v="5"/>
    <n v="6"/>
    <n v="8"/>
    <n v="8"/>
    <n v="9"/>
    <n v="5"/>
    <n v="7"/>
    <n v="6"/>
    <n v="113"/>
    <n v="6"/>
    <x v="4"/>
    <n v="7"/>
  </r>
  <r>
    <x v="31"/>
    <n v="36"/>
    <n v="2"/>
    <n v="6"/>
    <n v="7"/>
    <n v="6"/>
    <n v="4"/>
    <n v="5"/>
    <n v="7"/>
    <n v="5"/>
    <n v="7"/>
    <n v="5"/>
    <n v="7"/>
    <n v="5"/>
    <n v="6"/>
    <n v="8"/>
    <n v="8"/>
    <n v="9"/>
    <n v="5"/>
    <n v="7"/>
    <n v="6"/>
    <n v="113"/>
    <n v="6"/>
    <x v="5"/>
    <n v="5"/>
  </r>
  <r>
    <x v="31"/>
    <n v="36"/>
    <n v="2"/>
    <n v="6"/>
    <n v="7"/>
    <n v="6"/>
    <n v="4"/>
    <n v="5"/>
    <n v="7"/>
    <n v="5"/>
    <n v="7"/>
    <n v="5"/>
    <n v="7"/>
    <n v="5"/>
    <n v="6"/>
    <n v="8"/>
    <n v="8"/>
    <n v="9"/>
    <n v="5"/>
    <n v="7"/>
    <n v="6"/>
    <n v="113"/>
    <n v="6"/>
    <x v="6"/>
    <n v="2"/>
  </r>
  <r>
    <x v="31"/>
    <n v="36"/>
    <n v="1"/>
    <n v="7"/>
    <n v="6"/>
    <n v="6"/>
    <n v="5"/>
    <n v="6"/>
    <n v="7"/>
    <n v="5"/>
    <n v="9"/>
    <n v="6"/>
    <n v="6"/>
    <n v="4"/>
    <n v="6"/>
    <n v="8"/>
    <n v="10"/>
    <n v="6"/>
    <n v="5"/>
    <n v="7"/>
    <n v="7"/>
    <n v="116"/>
    <n v="9"/>
    <x v="0"/>
    <n v="0"/>
  </r>
  <r>
    <x v="31"/>
    <n v="36"/>
    <n v="1"/>
    <n v="7"/>
    <n v="6"/>
    <n v="6"/>
    <n v="5"/>
    <n v="6"/>
    <n v="7"/>
    <n v="5"/>
    <n v="9"/>
    <n v="6"/>
    <n v="6"/>
    <n v="4"/>
    <n v="6"/>
    <n v="8"/>
    <n v="10"/>
    <n v="6"/>
    <n v="5"/>
    <n v="7"/>
    <n v="7"/>
    <n v="116"/>
    <n v="9"/>
    <x v="1"/>
    <n v="0"/>
  </r>
  <r>
    <x v="31"/>
    <n v="36"/>
    <n v="1"/>
    <n v="7"/>
    <n v="6"/>
    <n v="6"/>
    <n v="5"/>
    <n v="6"/>
    <n v="7"/>
    <n v="5"/>
    <n v="9"/>
    <n v="6"/>
    <n v="6"/>
    <n v="4"/>
    <n v="6"/>
    <n v="8"/>
    <n v="10"/>
    <n v="6"/>
    <n v="5"/>
    <n v="7"/>
    <n v="7"/>
    <n v="116"/>
    <n v="9"/>
    <x v="2"/>
    <n v="0"/>
  </r>
  <r>
    <x v="31"/>
    <n v="36"/>
    <n v="1"/>
    <n v="7"/>
    <n v="6"/>
    <n v="6"/>
    <n v="5"/>
    <n v="6"/>
    <n v="7"/>
    <n v="5"/>
    <n v="9"/>
    <n v="6"/>
    <n v="6"/>
    <n v="4"/>
    <n v="6"/>
    <n v="8"/>
    <n v="10"/>
    <n v="6"/>
    <n v="5"/>
    <n v="7"/>
    <n v="7"/>
    <n v="116"/>
    <n v="9"/>
    <x v="3"/>
    <n v="1"/>
  </r>
  <r>
    <x v="31"/>
    <n v="36"/>
    <n v="1"/>
    <n v="7"/>
    <n v="6"/>
    <n v="6"/>
    <n v="5"/>
    <n v="6"/>
    <n v="7"/>
    <n v="5"/>
    <n v="9"/>
    <n v="6"/>
    <n v="6"/>
    <n v="4"/>
    <n v="6"/>
    <n v="8"/>
    <n v="10"/>
    <n v="6"/>
    <n v="5"/>
    <n v="7"/>
    <n v="7"/>
    <n v="116"/>
    <n v="9"/>
    <x v="4"/>
    <n v="12"/>
  </r>
  <r>
    <x v="31"/>
    <n v="36"/>
    <n v="1"/>
    <n v="7"/>
    <n v="6"/>
    <n v="6"/>
    <n v="5"/>
    <n v="6"/>
    <n v="7"/>
    <n v="5"/>
    <n v="9"/>
    <n v="6"/>
    <n v="6"/>
    <n v="4"/>
    <n v="6"/>
    <n v="8"/>
    <n v="10"/>
    <n v="6"/>
    <n v="5"/>
    <n v="7"/>
    <n v="7"/>
    <n v="116"/>
    <n v="9"/>
    <x v="5"/>
    <n v="2"/>
  </r>
  <r>
    <x v="31"/>
    <n v="36"/>
    <n v="1"/>
    <n v="7"/>
    <n v="6"/>
    <n v="6"/>
    <n v="5"/>
    <n v="6"/>
    <n v="7"/>
    <n v="5"/>
    <n v="9"/>
    <n v="6"/>
    <n v="6"/>
    <n v="4"/>
    <n v="6"/>
    <n v="8"/>
    <n v="10"/>
    <n v="6"/>
    <n v="5"/>
    <n v="7"/>
    <n v="7"/>
    <n v="116"/>
    <n v="9"/>
    <x v="6"/>
    <n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n v="-2"/>
    <n v="8"/>
  </r>
  <r>
    <x v="1"/>
    <n v="0"/>
    <n v="14"/>
  </r>
  <r>
    <x v="2"/>
    <n v="8"/>
    <n v="26"/>
  </r>
  <r>
    <x v="3"/>
    <n v="16"/>
    <n v="32"/>
  </r>
  <r>
    <x v="4"/>
    <n v="-1"/>
    <n v="12"/>
  </r>
  <r>
    <x v="5"/>
    <n v="-2"/>
    <n v="8"/>
  </r>
  <r>
    <x v="6"/>
    <n v="3"/>
    <n v="20"/>
  </r>
  <r>
    <x v="7"/>
    <n v="-4"/>
    <n v="4"/>
  </r>
  <r>
    <x v="8"/>
    <n v="15"/>
    <n v="29"/>
  </r>
  <r>
    <x v="9"/>
    <n v="3"/>
    <n v="20"/>
  </r>
  <r>
    <x v="10"/>
    <n v="3"/>
    <n v="20"/>
  </r>
  <r>
    <x v="11"/>
    <n v="4"/>
    <n v="23"/>
  </r>
  <r>
    <x v="12"/>
    <n v="-3"/>
    <n v="7"/>
  </r>
  <r>
    <x v="13"/>
    <n v="4"/>
    <n v="23"/>
  </r>
  <r>
    <x v="14"/>
    <n v="-5"/>
    <n v="3"/>
  </r>
  <r>
    <x v="15"/>
    <n v="1"/>
    <n v="17"/>
  </r>
  <r>
    <x v="16"/>
    <n v="2"/>
    <n v="18"/>
  </r>
  <r>
    <x v="17"/>
    <n v="-4"/>
    <n v="4"/>
  </r>
  <r>
    <x v="18"/>
    <n v="8"/>
    <n v="26"/>
  </r>
  <r>
    <x v="19"/>
    <n v="-4"/>
    <n v="4"/>
  </r>
  <r>
    <x v="20"/>
    <n v="-1"/>
    <n v="12"/>
  </r>
  <r>
    <x v="21"/>
    <n v="0"/>
    <n v="14"/>
  </r>
  <r>
    <x v="22"/>
    <n v="15"/>
    <n v="29"/>
  </r>
  <r>
    <x v="23"/>
    <n v="2"/>
    <n v="18"/>
  </r>
  <r>
    <x v="24"/>
    <n v="15"/>
    <n v="29"/>
  </r>
  <r>
    <x v="25"/>
    <n v="-2"/>
    <n v="8"/>
  </r>
  <r>
    <x v="26"/>
    <n v="-6"/>
    <n v="2"/>
  </r>
  <r>
    <x v="27"/>
    <n v="-7"/>
    <n v="1"/>
  </r>
  <r>
    <x v="28"/>
    <n v="8"/>
    <n v="26"/>
  </r>
  <r>
    <x v="29"/>
    <n v="5"/>
    <n v="25"/>
  </r>
  <r>
    <x v="30"/>
    <n v="0"/>
    <n v="14"/>
  </r>
  <r>
    <x v="31"/>
    <n v="-2"/>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294F3-3AD0-4E7E-B041-5869B5E3A52F}" name="PivotTable4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D13:AE22" firstHeaderRow="1" firstDataRow="1" firstDataCol="1"/>
  <pivotFields count="25">
    <pivotField axis="axisRow" showAll="0">
      <items count="33">
        <item h="1" x="16"/>
        <item h="1" x="18"/>
        <item h="1" x="27"/>
        <item h="1" x="24"/>
        <item h="1" x="5"/>
        <item h="1" x="21"/>
        <item h="1" x="3"/>
        <item h="1" x="30"/>
        <item h="1" x="9"/>
        <item h="1" x="10"/>
        <item h="1" x="4"/>
        <item h="1" x="12"/>
        <item x="23"/>
        <item h="1" x="13"/>
        <item h="1" x="25"/>
        <item h="1" x="17"/>
        <item h="1" x="26"/>
        <item h="1" x="0"/>
        <item h="1" x="22"/>
        <item h="1" x="1"/>
        <item h="1" x="8"/>
        <item h="1" x="14"/>
        <item h="1" x="31"/>
        <item h="1" x="6"/>
        <item h="1" x="29"/>
        <item h="1" x="7"/>
        <item h="1" x="11"/>
        <item h="1" x="28"/>
        <item h="1" x="19"/>
        <item h="1" x="20"/>
        <item h="1" x="2"/>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5"/>
        <item x="4"/>
        <item x="3"/>
        <item x="0"/>
        <item x="1"/>
        <item x="2"/>
        <item t="default"/>
      </items>
    </pivotField>
    <pivotField dataField="1" showAll="0"/>
  </pivotFields>
  <rowFields count="2">
    <field x="0"/>
    <field x="23"/>
  </rowFields>
  <rowItems count="9">
    <i>
      <x v="12"/>
    </i>
    <i r="1">
      <x/>
    </i>
    <i r="1">
      <x v="1"/>
    </i>
    <i r="1">
      <x v="2"/>
    </i>
    <i r="1">
      <x v="3"/>
    </i>
    <i r="1">
      <x v="4"/>
    </i>
    <i r="1">
      <x v="5"/>
    </i>
    <i r="1">
      <x v="6"/>
    </i>
    <i t="grand">
      <x/>
    </i>
  </rowItems>
  <colItems count="1">
    <i/>
  </colItems>
  <dataFields count="1">
    <dataField name="Sum of Valu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530FD-3970-4BE8-BE6C-3ECA6E8F6D97}" name="PivotTable4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25:AD58" firstHeaderRow="1" firstDataRow="1" firstDataCol="1"/>
  <pivotFields count="25">
    <pivotField axis="axisRow" showAll="0">
      <items count="33">
        <item x="16"/>
        <item x="18"/>
        <item x="27"/>
        <item x="24"/>
        <item x="5"/>
        <item x="21"/>
        <item x="3"/>
        <item x="30"/>
        <item x="9"/>
        <item x="10"/>
        <item x="4"/>
        <item x="12"/>
        <item x="23"/>
        <item x="13"/>
        <item x="25"/>
        <item x="17"/>
        <item x="26"/>
        <item x="0"/>
        <item x="22"/>
        <item x="1"/>
        <item x="8"/>
        <item x="14"/>
        <item x="31"/>
        <item x="6"/>
        <item x="29"/>
        <item x="7"/>
        <item x="11"/>
        <item x="28"/>
        <item x="19"/>
        <item x="20"/>
        <item x="2"/>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Score After Handicap"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266C99-BBBF-45EE-80C0-41AA184F30ED}" name="PivotTable5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12"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Row" allDrilled="1" subtotalTop="0" showAll="0" defaultSubtotal="0" defaultAttributeDrillState="1">
      <items count="7">
        <item x="3"/>
        <item x="0"/>
        <item x="4"/>
        <item x="1"/>
        <item x="2"/>
        <item x="6"/>
        <item x="5"/>
      </items>
    </pivotField>
    <pivotField dataField="1" subtotalTop="0" showAll="0" defaultSubtotal="0"/>
    <pivotField allDrilled="1" subtotalTop="0" showAll="0" dataSourceSort="1" defaultSubtotal="0" defaultAttributeDrillState="1"/>
  </pivotFields>
  <rowFields count="2">
    <field x="0"/>
    <field x="1"/>
  </rowFields>
  <rowItems count="9">
    <i>
      <x/>
    </i>
    <i r="1">
      <x/>
    </i>
    <i r="1">
      <x v="1"/>
    </i>
    <i r="1">
      <x v="2"/>
    </i>
    <i r="1">
      <x v="3"/>
    </i>
    <i r="1">
      <x v="4"/>
    </i>
    <i r="1">
      <x v="5"/>
    </i>
    <i r="1">
      <x v="6"/>
    </i>
    <i t="grand">
      <x/>
    </i>
  </rowItems>
  <colItems count="1">
    <i/>
  </colItems>
  <dataFields count="1">
    <dataField name="Sum of Value" fld="2" baseField="0" baseItem="0"/>
  </dataFields>
  <chartFormats count="225">
    <chartFormat chart="7" format="459" series="1">
      <pivotArea type="data" outline="0" fieldPosition="0">
        <references count="1">
          <reference field="4294967294" count="1" selected="0">
            <x v="0"/>
          </reference>
        </references>
      </pivotArea>
    </chartFormat>
    <chartFormat chart="7" format="460">
      <pivotArea type="data" outline="0" fieldPosition="0">
        <references count="3">
          <reference field="4294967294" count="1" selected="0">
            <x v="0"/>
          </reference>
          <reference field="0" count="1" selected="0">
            <x v="4"/>
          </reference>
          <reference field="1" count="1" selected="0">
            <x v="1"/>
          </reference>
        </references>
      </pivotArea>
    </chartFormat>
    <chartFormat chart="7" format="461">
      <pivotArea type="data" outline="0" fieldPosition="0">
        <references count="3">
          <reference field="4294967294" count="1" selected="0">
            <x v="0"/>
          </reference>
          <reference field="0" count="1" selected="0">
            <x v="4"/>
          </reference>
          <reference field="1" count="1" selected="0">
            <x v="3"/>
          </reference>
        </references>
      </pivotArea>
    </chartFormat>
    <chartFormat chart="7" format="462">
      <pivotArea type="data" outline="0" fieldPosition="0">
        <references count="3">
          <reference field="4294967294" count="1" selected="0">
            <x v="0"/>
          </reference>
          <reference field="0" count="1" selected="0">
            <x v="4"/>
          </reference>
          <reference field="1" count="1" selected="0">
            <x v="4"/>
          </reference>
        </references>
      </pivotArea>
    </chartFormat>
    <chartFormat chart="7" format="463">
      <pivotArea type="data" outline="0" fieldPosition="0">
        <references count="3">
          <reference field="4294967294" count="1" selected="0">
            <x v="0"/>
          </reference>
          <reference field="0" count="1" selected="0">
            <x v="4"/>
          </reference>
          <reference field="1" count="1" selected="0">
            <x v="0"/>
          </reference>
        </references>
      </pivotArea>
    </chartFormat>
    <chartFormat chart="7" format="464">
      <pivotArea type="data" outline="0" fieldPosition="0">
        <references count="3">
          <reference field="4294967294" count="1" selected="0">
            <x v="0"/>
          </reference>
          <reference field="0" count="1" selected="0">
            <x v="4"/>
          </reference>
          <reference field="1" count="1" selected="0">
            <x v="2"/>
          </reference>
        </references>
      </pivotArea>
    </chartFormat>
    <chartFormat chart="7" format="465">
      <pivotArea type="data" outline="0" fieldPosition="0">
        <references count="3">
          <reference field="4294967294" count="1" selected="0">
            <x v="0"/>
          </reference>
          <reference field="0" count="1" selected="0">
            <x v="4"/>
          </reference>
          <reference field="1" count="1" selected="0">
            <x v="6"/>
          </reference>
        </references>
      </pivotArea>
    </chartFormat>
    <chartFormat chart="7" format="466">
      <pivotArea type="data" outline="0" fieldPosition="0">
        <references count="3">
          <reference field="4294967294" count="1" selected="0">
            <x v="0"/>
          </reference>
          <reference field="0" count="1" selected="0">
            <x v="4"/>
          </reference>
          <reference field="1" count="1" selected="0">
            <x v="5"/>
          </reference>
        </references>
      </pivotArea>
    </chartFormat>
    <chartFormat chart="7" format="467">
      <pivotArea type="data" outline="0" fieldPosition="0">
        <references count="3">
          <reference field="4294967294" count="1" selected="0">
            <x v="0"/>
          </reference>
          <reference field="0" count="1" selected="0">
            <x v="5"/>
          </reference>
          <reference field="1" count="1" selected="0">
            <x v="1"/>
          </reference>
        </references>
      </pivotArea>
    </chartFormat>
    <chartFormat chart="7" format="468">
      <pivotArea type="data" outline="0" fieldPosition="0">
        <references count="3">
          <reference field="4294967294" count="1" selected="0">
            <x v="0"/>
          </reference>
          <reference field="0" count="1" selected="0">
            <x v="5"/>
          </reference>
          <reference field="1" count="1" selected="0">
            <x v="3"/>
          </reference>
        </references>
      </pivotArea>
    </chartFormat>
    <chartFormat chart="7" format="469">
      <pivotArea type="data" outline="0" fieldPosition="0">
        <references count="3">
          <reference field="4294967294" count="1" selected="0">
            <x v="0"/>
          </reference>
          <reference field="0" count="1" selected="0">
            <x v="5"/>
          </reference>
          <reference field="1" count="1" selected="0">
            <x v="4"/>
          </reference>
        </references>
      </pivotArea>
    </chartFormat>
    <chartFormat chart="7" format="470">
      <pivotArea type="data" outline="0" fieldPosition="0">
        <references count="3">
          <reference field="4294967294" count="1" selected="0">
            <x v="0"/>
          </reference>
          <reference field="0" count="1" selected="0">
            <x v="5"/>
          </reference>
          <reference field="1" count="1" selected="0">
            <x v="0"/>
          </reference>
        </references>
      </pivotArea>
    </chartFormat>
    <chartFormat chart="7" format="471">
      <pivotArea type="data" outline="0" fieldPosition="0">
        <references count="3">
          <reference field="4294967294" count="1" selected="0">
            <x v="0"/>
          </reference>
          <reference field="0" count="1" selected="0">
            <x v="5"/>
          </reference>
          <reference field="1" count="1" selected="0">
            <x v="2"/>
          </reference>
        </references>
      </pivotArea>
    </chartFormat>
    <chartFormat chart="7" format="472">
      <pivotArea type="data" outline="0" fieldPosition="0">
        <references count="3">
          <reference field="4294967294" count="1" selected="0">
            <x v="0"/>
          </reference>
          <reference field="0" count="1" selected="0">
            <x v="5"/>
          </reference>
          <reference field="1" count="1" selected="0">
            <x v="6"/>
          </reference>
        </references>
      </pivotArea>
    </chartFormat>
    <chartFormat chart="7" format="473">
      <pivotArea type="data" outline="0" fieldPosition="0">
        <references count="3">
          <reference field="4294967294" count="1" selected="0">
            <x v="0"/>
          </reference>
          <reference field="0" count="1" selected="0">
            <x v="5"/>
          </reference>
          <reference field="1" count="1" selected="0">
            <x v="5"/>
          </reference>
        </references>
      </pivotArea>
    </chartFormat>
    <chartFormat chart="7" format="474">
      <pivotArea type="data" outline="0" fieldPosition="0">
        <references count="3">
          <reference field="4294967294" count="1" selected="0">
            <x v="0"/>
          </reference>
          <reference field="0" count="1" selected="0">
            <x v="6"/>
          </reference>
          <reference field="1" count="1" selected="0">
            <x v="1"/>
          </reference>
        </references>
      </pivotArea>
    </chartFormat>
    <chartFormat chart="7" format="475">
      <pivotArea type="data" outline="0" fieldPosition="0">
        <references count="3">
          <reference field="4294967294" count="1" selected="0">
            <x v="0"/>
          </reference>
          <reference field="0" count="1" selected="0">
            <x v="6"/>
          </reference>
          <reference field="1" count="1" selected="0">
            <x v="3"/>
          </reference>
        </references>
      </pivotArea>
    </chartFormat>
    <chartFormat chart="7" format="476">
      <pivotArea type="data" outline="0" fieldPosition="0">
        <references count="3">
          <reference field="4294967294" count="1" selected="0">
            <x v="0"/>
          </reference>
          <reference field="0" count="1" selected="0">
            <x v="6"/>
          </reference>
          <reference field="1" count="1" selected="0">
            <x v="4"/>
          </reference>
        </references>
      </pivotArea>
    </chartFormat>
    <chartFormat chart="7" format="477">
      <pivotArea type="data" outline="0" fieldPosition="0">
        <references count="3">
          <reference field="4294967294" count="1" selected="0">
            <x v="0"/>
          </reference>
          <reference field="0" count="1" selected="0">
            <x v="6"/>
          </reference>
          <reference field="1" count="1" selected="0">
            <x v="0"/>
          </reference>
        </references>
      </pivotArea>
    </chartFormat>
    <chartFormat chart="7" format="478">
      <pivotArea type="data" outline="0" fieldPosition="0">
        <references count="3">
          <reference field="4294967294" count="1" selected="0">
            <x v="0"/>
          </reference>
          <reference field="0" count="1" selected="0">
            <x v="6"/>
          </reference>
          <reference field="1" count="1" selected="0">
            <x v="2"/>
          </reference>
        </references>
      </pivotArea>
    </chartFormat>
    <chartFormat chart="7" format="479">
      <pivotArea type="data" outline="0" fieldPosition="0">
        <references count="3">
          <reference field="4294967294" count="1" selected="0">
            <x v="0"/>
          </reference>
          <reference field="0" count="1" selected="0">
            <x v="6"/>
          </reference>
          <reference field="1" count="1" selected="0">
            <x v="6"/>
          </reference>
        </references>
      </pivotArea>
    </chartFormat>
    <chartFormat chart="7" format="480">
      <pivotArea type="data" outline="0" fieldPosition="0">
        <references count="3">
          <reference field="4294967294" count="1" selected="0">
            <x v="0"/>
          </reference>
          <reference field="0" count="1" selected="0">
            <x v="6"/>
          </reference>
          <reference field="1" count="1" selected="0">
            <x v="5"/>
          </reference>
        </references>
      </pivotArea>
    </chartFormat>
    <chartFormat chart="7" format="481">
      <pivotArea type="data" outline="0" fieldPosition="0">
        <references count="3">
          <reference field="4294967294" count="1" selected="0">
            <x v="0"/>
          </reference>
          <reference field="0" count="1" selected="0">
            <x v="7"/>
          </reference>
          <reference field="1" count="1" selected="0">
            <x v="1"/>
          </reference>
        </references>
      </pivotArea>
    </chartFormat>
    <chartFormat chart="7" format="482">
      <pivotArea type="data" outline="0" fieldPosition="0">
        <references count="3">
          <reference field="4294967294" count="1" selected="0">
            <x v="0"/>
          </reference>
          <reference field="0" count="1" selected="0">
            <x v="7"/>
          </reference>
          <reference field="1" count="1" selected="0">
            <x v="3"/>
          </reference>
        </references>
      </pivotArea>
    </chartFormat>
    <chartFormat chart="7" format="483">
      <pivotArea type="data" outline="0" fieldPosition="0">
        <references count="3">
          <reference field="4294967294" count="1" selected="0">
            <x v="0"/>
          </reference>
          <reference field="0" count="1" selected="0">
            <x v="7"/>
          </reference>
          <reference field="1" count="1" selected="0">
            <x v="4"/>
          </reference>
        </references>
      </pivotArea>
    </chartFormat>
    <chartFormat chart="7" format="484">
      <pivotArea type="data" outline="0" fieldPosition="0">
        <references count="3">
          <reference field="4294967294" count="1" selected="0">
            <x v="0"/>
          </reference>
          <reference field="0" count="1" selected="0">
            <x v="7"/>
          </reference>
          <reference field="1" count="1" selected="0">
            <x v="0"/>
          </reference>
        </references>
      </pivotArea>
    </chartFormat>
    <chartFormat chart="7" format="485">
      <pivotArea type="data" outline="0" fieldPosition="0">
        <references count="3">
          <reference field="4294967294" count="1" selected="0">
            <x v="0"/>
          </reference>
          <reference field="0" count="1" selected="0">
            <x v="7"/>
          </reference>
          <reference field="1" count="1" selected="0">
            <x v="2"/>
          </reference>
        </references>
      </pivotArea>
    </chartFormat>
    <chartFormat chart="7" format="486">
      <pivotArea type="data" outline="0" fieldPosition="0">
        <references count="3">
          <reference field="4294967294" count="1" selected="0">
            <x v="0"/>
          </reference>
          <reference field="0" count="1" selected="0">
            <x v="7"/>
          </reference>
          <reference field="1" count="1" selected="0">
            <x v="6"/>
          </reference>
        </references>
      </pivotArea>
    </chartFormat>
    <chartFormat chart="7" format="487">
      <pivotArea type="data" outline="0" fieldPosition="0">
        <references count="3">
          <reference field="4294967294" count="1" selected="0">
            <x v="0"/>
          </reference>
          <reference field="0" count="1" selected="0">
            <x v="7"/>
          </reference>
          <reference field="1" count="1" selected="0">
            <x v="5"/>
          </reference>
        </references>
      </pivotArea>
    </chartFormat>
    <chartFormat chart="7" format="488">
      <pivotArea type="data" outline="0" fieldPosition="0">
        <references count="3">
          <reference field="4294967294" count="1" selected="0">
            <x v="0"/>
          </reference>
          <reference field="0" count="1" selected="0">
            <x v="8"/>
          </reference>
          <reference field="1" count="1" selected="0">
            <x v="1"/>
          </reference>
        </references>
      </pivotArea>
    </chartFormat>
    <chartFormat chart="7" format="489">
      <pivotArea type="data" outline="0" fieldPosition="0">
        <references count="3">
          <reference field="4294967294" count="1" selected="0">
            <x v="0"/>
          </reference>
          <reference field="0" count="1" selected="0">
            <x v="8"/>
          </reference>
          <reference field="1" count="1" selected="0">
            <x v="3"/>
          </reference>
        </references>
      </pivotArea>
    </chartFormat>
    <chartFormat chart="7" format="490">
      <pivotArea type="data" outline="0" fieldPosition="0">
        <references count="3">
          <reference field="4294967294" count="1" selected="0">
            <x v="0"/>
          </reference>
          <reference field="0" count="1" selected="0">
            <x v="8"/>
          </reference>
          <reference field="1" count="1" selected="0">
            <x v="4"/>
          </reference>
        </references>
      </pivotArea>
    </chartFormat>
    <chartFormat chart="7" format="491">
      <pivotArea type="data" outline="0" fieldPosition="0">
        <references count="3">
          <reference field="4294967294" count="1" selected="0">
            <x v="0"/>
          </reference>
          <reference field="0" count="1" selected="0">
            <x v="8"/>
          </reference>
          <reference field="1" count="1" selected="0">
            <x v="0"/>
          </reference>
        </references>
      </pivotArea>
    </chartFormat>
    <chartFormat chart="7" format="492">
      <pivotArea type="data" outline="0" fieldPosition="0">
        <references count="3">
          <reference field="4294967294" count="1" selected="0">
            <x v="0"/>
          </reference>
          <reference field="0" count="1" selected="0">
            <x v="8"/>
          </reference>
          <reference field="1" count="1" selected="0">
            <x v="2"/>
          </reference>
        </references>
      </pivotArea>
    </chartFormat>
    <chartFormat chart="7" format="493">
      <pivotArea type="data" outline="0" fieldPosition="0">
        <references count="3">
          <reference field="4294967294" count="1" selected="0">
            <x v="0"/>
          </reference>
          <reference field="0" count="1" selected="0">
            <x v="8"/>
          </reference>
          <reference field="1" count="1" selected="0">
            <x v="6"/>
          </reference>
        </references>
      </pivotArea>
    </chartFormat>
    <chartFormat chart="7" format="494">
      <pivotArea type="data" outline="0" fieldPosition="0">
        <references count="3">
          <reference field="4294967294" count="1" selected="0">
            <x v="0"/>
          </reference>
          <reference field="0" count="1" selected="0">
            <x v="8"/>
          </reference>
          <reference field="1" count="1" selected="0">
            <x v="5"/>
          </reference>
        </references>
      </pivotArea>
    </chartFormat>
    <chartFormat chart="7" format="495">
      <pivotArea type="data" outline="0" fieldPosition="0">
        <references count="3">
          <reference field="4294967294" count="1" selected="0">
            <x v="0"/>
          </reference>
          <reference field="0" count="1" selected="0">
            <x v="9"/>
          </reference>
          <reference field="1" count="1" selected="0">
            <x v="1"/>
          </reference>
        </references>
      </pivotArea>
    </chartFormat>
    <chartFormat chart="7" format="496">
      <pivotArea type="data" outline="0" fieldPosition="0">
        <references count="3">
          <reference field="4294967294" count="1" selected="0">
            <x v="0"/>
          </reference>
          <reference field="0" count="1" selected="0">
            <x v="9"/>
          </reference>
          <reference field="1" count="1" selected="0">
            <x v="3"/>
          </reference>
        </references>
      </pivotArea>
    </chartFormat>
    <chartFormat chart="7" format="497">
      <pivotArea type="data" outline="0" fieldPosition="0">
        <references count="3">
          <reference field="4294967294" count="1" selected="0">
            <x v="0"/>
          </reference>
          <reference field="0" count="1" selected="0">
            <x v="9"/>
          </reference>
          <reference field="1" count="1" selected="0">
            <x v="4"/>
          </reference>
        </references>
      </pivotArea>
    </chartFormat>
    <chartFormat chart="7" format="498">
      <pivotArea type="data" outline="0" fieldPosition="0">
        <references count="3">
          <reference field="4294967294" count="1" selected="0">
            <x v="0"/>
          </reference>
          <reference field="0" count="1" selected="0">
            <x v="9"/>
          </reference>
          <reference field="1" count="1" selected="0">
            <x v="0"/>
          </reference>
        </references>
      </pivotArea>
    </chartFormat>
    <chartFormat chart="7" format="499">
      <pivotArea type="data" outline="0" fieldPosition="0">
        <references count="3">
          <reference field="4294967294" count="1" selected="0">
            <x v="0"/>
          </reference>
          <reference field="0" count="1" selected="0">
            <x v="9"/>
          </reference>
          <reference field="1" count="1" selected="0">
            <x v="2"/>
          </reference>
        </references>
      </pivotArea>
    </chartFormat>
    <chartFormat chart="7" format="500">
      <pivotArea type="data" outline="0" fieldPosition="0">
        <references count="3">
          <reference field="4294967294" count="1" selected="0">
            <x v="0"/>
          </reference>
          <reference field="0" count="1" selected="0">
            <x v="9"/>
          </reference>
          <reference field="1" count="1" selected="0">
            <x v="6"/>
          </reference>
        </references>
      </pivotArea>
    </chartFormat>
    <chartFormat chart="7" format="501">
      <pivotArea type="data" outline="0" fieldPosition="0">
        <references count="3">
          <reference field="4294967294" count="1" selected="0">
            <x v="0"/>
          </reference>
          <reference field="0" count="1" selected="0">
            <x v="9"/>
          </reference>
          <reference field="1" count="1" selected="0">
            <x v="5"/>
          </reference>
        </references>
      </pivotArea>
    </chartFormat>
    <chartFormat chart="7" format="502">
      <pivotArea type="data" outline="0" fieldPosition="0">
        <references count="3">
          <reference field="4294967294" count="1" selected="0">
            <x v="0"/>
          </reference>
          <reference field="0" count="1" selected="0">
            <x v="10"/>
          </reference>
          <reference field="1" count="1" selected="0">
            <x v="1"/>
          </reference>
        </references>
      </pivotArea>
    </chartFormat>
    <chartFormat chart="7" format="503">
      <pivotArea type="data" outline="0" fieldPosition="0">
        <references count="3">
          <reference field="4294967294" count="1" selected="0">
            <x v="0"/>
          </reference>
          <reference field="0" count="1" selected="0">
            <x v="10"/>
          </reference>
          <reference field="1" count="1" selected="0">
            <x v="3"/>
          </reference>
        </references>
      </pivotArea>
    </chartFormat>
    <chartFormat chart="7" format="504">
      <pivotArea type="data" outline="0" fieldPosition="0">
        <references count="3">
          <reference field="4294967294" count="1" selected="0">
            <x v="0"/>
          </reference>
          <reference field="0" count="1" selected="0">
            <x v="10"/>
          </reference>
          <reference field="1" count="1" selected="0">
            <x v="4"/>
          </reference>
        </references>
      </pivotArea>
    </chartFormat>
    <chartFormat chart="7" format="505">
      <pivotArea type="data" outline="0" fieldPosition="0">
        <references count="3">
          <reference field="4294967294" count="1" selected="0">
            <x v="0"/>
          </reference>
          <reference field="0" count="1" selected="0">
            <x v="10"/>
          </reference>
          <reference field="1" count="1" selected="0">
            <x v="0"/>
          </reference>
        </references>
      </pivotArea>
    </chartFormat>
    <chartFormat chart="7" format="506">
      <pivotArea type="data" outline="0" fieldPosition="0">
        <references count="3">
          <reference field="4294967294" count="1" selected="0">
            <x v="0"/>
          </reference>
          <reference field="0" count="1" selected="0">
            <x v="10"/>
          </reference>
          <reference field="1" count="1" selected="0">
            <x v="2"/>
          </reference>
        </references>
      </pivotArea>
    </chartFormat>
    <chartFormat chart="7" format="507">
      <pivotArea type="data" outline="0" fieldPosition="0">
        <references count="3">
          <reference field="4294967294" count="1" selected="0">
            <x v="0"/>
          </reference>
          <reference field="0" count="1" selected="0">
            <x v="10"/>
          </reference>
          <reference field="1" count="1" selected="0">
            <x v="6"/>
          </reference>
        </references>
      </pivotArea>
    </chartFormat>
    <chartFormat chart="7" format="508">
      <pivotArea type="data" outline="0" fieldPosition="0">
        <references count="3">
          <reference field="4294967294" count="1" selected="0">
            <x v="0"/>
          </reference>
          <reference field="0" count="1" selected="0">
            <x v="10"/>
          </reference>
          <reference field="1" count="1" selected="0">
            <x v="5"/>
          </reference>
        </references>
      </pivotArea>
    </chartFormat>
    <chartFormat chart="7" format="509">
      <pivotArea type="data" outline="0" fieldPosition="0">
        <references count="3">
          <reference field="4294967294" count="1" selected="0">
            <x v="0"/>
          </reference>
          <reference field="0" count="1" selected="0">
            <x v="3"/>
          </reference>
          <reference field="1" count="1" selected="0">
            <x v="1"/>
          </reference>
        </references>
      </pivotArea>
    </chartFormat>
    <chartFormat chart="7" format="510">
      <pivotArea type="data" outline="0" fieldPosition="0">
        <references count="3">
          <reference field="4294967294" count="1" selected="0">
            <x v="0"/>
          </reference>
          <reference field="0" count="1" selected="0">
            <x v="3"/>
          </reference>
          <reference field="1" count="1" selected="0">
            <x v="3"/>
          </reference>
        </references>
      </pivotArea>
    </chartFormat>
    <chartFormat chart="7" format="511">
      <pivotArea type="data" outline="0" fieldPosition="0">
        <references count="3">
          <reference field="4294967294" count="1" selected="0">
            <x v="0"/>
          </reference>
          <reference field="0" count="1" selected="0">
            <x v="3"/>
          </reference>
          <reference field="1" count="1" selected="0">
            <x v="4"/>
          </reference>
        </references>
      </pivotArea>
    </chartFormat>
    <chartFormat chart="7" format="512">
      <pivotArea type="data" outline="0" fieldPosition="0">
        <references count="3">
          <reference field="4294967294" count="1" selected="0">
            <x v="0"/>
          </reference>
          <reference field="0" count="1" selected="0">
            <x v="3"/>
          </reference>
          <reference field="1" count="1" selected="0">
            <x v="0"/>
          </reference>
        </references>
      </pivotArea>
    </chartFormat>
    <chartFormat chart="7" format="513">
      <pivotArea type="data" outline="0" fieldPosition="0">
        <references count="3">
          <reference field="4294967294" count="1" selected="0">
            <x v="0"/>
          </reference>
          <reference field="0" count="1" selected="0">
            <x v="3"/>
          </reference>
          <reference field="1" count="1" selected="0">
            <x v="2"/>
          </reference>
        </references>
      </pivotArea>
    </chartFormat>
    <chartFormat chart="7" format="514">
      <pivotArea type="data" outline="0" fieldPosition="0">
        <references count="3">
          <reference field="4294967294" count="1" selected="0">
            <x v="0"/>
          </reference>
          <reference field="0" count="1" selected="0">
            <x v="3"/>
          </reference>
          <reference field="1" count="1" selected="0">
            <x v="6"/>
          </reference>
        </references>
      </pivotArea>
    </chartFormat>
    <chartFormat chart="7" format="515">
      <pivotArea type="data" outline="0" fieldPosition="0">
        <references count="3">
          <reference field="4294967294" count="1" selected="0">
            <x v="0"/>
          </reference>
          <reference field="0" count="1" selected="0">
            <x v="3"/>
          </reference>
          <reference field="1" count="1" selected="0">
            <x v="5"/>
          </reference>
        </references>
      </pivotArea>
    </chartFormat>
    <chartFormat chart="7" format="516">
      <pivotArea type="data" outline="0" fieldPosition="0">
        <references count="3">
          <reference field="4294967294" count="1" selected="0">
            <x v="0"/>
          </reference>
          <reference field="0" count="1" selected="0">
            <x v="2"/>
          </reference>
          <reference field="1" count="1" selected="0">
            <x v="1"/>
          </reference>
        </references>
      </pivotArea>
    </chartFormat>
    <chartFormat chart="7" format="517">
      <pivotArea type="data" outline="0" fieldPosition="0">
        <references count="3">
          <reference field="4294967294" count="1" selected="0">
            <x v="0"/>
          </reference>
          <reference field="0" count="1" selected="0">
            <x v="2"/>
          </reference>
          <reference field="1" count="1" selected="0">
            <x v="3"/>
          </reference>
        </references>
      </pivotArea>
    </chartFormat>
    <chartFormat chart="7" format="518">
      <pivotArea type="data" outline="0" fieldPosition="0">
        <references count="3">
          <reference field="4294967294" count="1" selected="0">
            <x v="0"/>
          </reference>
          <reference field="0" count="1" selected="0">
            <x v="2"/>
          </reference>
          <reference field="1" count="1" selected="0">
            <x v="4"/>
          </reference>
        </references>
      </pivotArea>
    </chartFormat>
    <chartFormat chart="7" format="519">
      <pivotArea type="data" outline="0" fieldPosition="0">
        <references count="3">
          <reference field="4294967294" count="1" selected="0">
            <x v="0"/>
          </reference>
          <reference field="0" count="1" selected="0">
            <x v="2"/>
          </reference>
          <reference field="1" count="1" selected="0">
            <x v="0"/>
          </reference>
        </references>
      </pivotArea>
    </chartFormat>
    <chartFormat chart="7" format="520">
      <pivotArea type="data" outline="0" fieldPosition="0">
        <references count="3">
          <reference field="4294967294" count="1" selected="0">
            <x v="0"/>
          </reference>
          <reference field="0" count="1" selected="0">
            <x v="2"/>
          </reference>
          <reference field="1" count="1" selected="0">
            <x v="2"/>
          </reference>
        </references>
      </pivotArea>
    </chartFormat>
    <chartFormat chart="7" format="521">
      <pivotArea type="data" outline="0" fieldPosition="0">
        <references count="3">
          <reference field="4294967294" count="1" selected="0">
            <x v="0"/>
          </reference>
          <reference field="0" count="1" selected="0">
            <x v="2"/>
          </reference>
          <reference field="1" count="1" selected="0">
            <x v="6"/>
          </reference>
        </references>
      </pivotArea>
    </chartFormat>
    <chartFormat chart="7" format="522">
      <pivotArea type="data" outline="0" fieldPosition="0">
        <references count="3">
          <reference field="4294967294" count="1" selected="0">
            <x v="0"/>
          </reference>
          <reference field="0" count="1" selected="0">
            <x v="2"/>
          </reference>
          <reference field="1" count="1" selected="0">
            <x v="5"/>
          </reference>
        </references>
      </pivotArea>
    </chartFormat>
    <chartFormat chart="7" format="523">
      <pivotArea type="data" outline="0" fieldPosition="0">
        <references count="3">
          <reference field="4294967294" count="1" selected="0">
            <x v="0"/>
          </reference>
          <reference field="0" count="1" selected="0">
            <x v="1"/>
          </reference>
          <reference field="1" count="1" selected="0">
            <x v="1"/>
          </reference>
        </references>
      </pivotArea>
    </chartFormat>
    <chartFormat chart="7" format="524">
      <pivotArea type="data" outline="0" fieldPosition="0">
        <references count="3">
          <reference field="4294967294" count="1" selected="0">
            <x v="0"/>
          </reference>
          <reference field="0" count="1" selected="0">
            <x v="1"/>
          </reference>
          <reference field="1" count="1" selected="0">
            <x v="3"/>
          </reference>
        </references>
      </pivotArea>
    </chartFormat>
    <chartFormat chart="7" format="525">
      <pivotArea type="data" outline="0" fieldPosition="0">
        <references count="3">
          <reference field="4294967294" count="1" selected="0">
            <x v="0"/>
          </reference>
          <reference field="0" count="1" selected="0">
            <x v="1"/>
          </reference>
          <reference field="1" count="1" selected="0">
            <x v="4"/>
          </reference>
        </references>
      </pivotArea>
    </chartFormat>
    <chartFormat chart="7" format="526">
      <pivotArea type="data" outline="0" fieldPosition="0">
        <references count="3">
          <reference field="4294967294" count="1" selected="0">
            <x v="0"/>
          </reference>
          <reference field="0" count="1" selected="0">
            <x v="1"/>
          </reference>
          <reference field="1" count="1" selected="0">
            <x v="0"/>
          </reference>
        </references>
      </pivotArea>
    </chartFormat>
    <chartFormat chart="7" format="527">
      <pivotArea type="data" outline="0" fieldPosition="0">
        <references count="3">
          <reference field="4294967294" count="1" selected="0">
            <x v="0"/>
          </reference>
          <reference field="0" count="1" selected="0">
            <x v="1"/>
          </reference>
          <reference field="1" count="1" selected="0">
            <x v="2"/>
          </reference>
        </references>
      </pivotArea>
    </chartFormat>
    <chartFormat chart="7" format="528">
      <pivotArea type="data" outline="0" fieldPosition="0">
        <references count="3">
          <reference field="4294967294" count="1" selected="0">
            <x v="0"/>
          </reference>
          <reference field="0" count="1" selected="0">
            <x v="1"/>
          </reference>
          <reference field="1" count="1" selected="0">
            <x v="6"/>
          </reference>
        </references>
      </pivotArea>
    </chartFormat>
    <chartFormat chart="7" format="529">
      <pivotArea type="data" outline="0" fieldPosition="0">
        <references count="3">
          <reference field="4294967294" count="1" selected="0">
            <x v="0"/>
          </reference>
          <reference field="0" count="1" selected="0">
            <x v="1"/>
          </reference>
          <reference field="1" count="1" selected="0">
            <x v="5"/>
          </reference>
        </references>
      </pivotArea>
    </chartFormat>
    <chartFormat chart="7" format="530">
      <pivotArea type="data" outline="0" fieldPosition="0">
        <references count="3">
          <reference field="4294967294" count="1" selected="0">
            <x v="0"/>
          </reference>
          <reference field="0" count="1" selected="0">
            <x v="0"/>
          </reference>
          <reference field="1" count="1" selected="0">
            <x v="1"/>
          </reference>
        </references>
      </pivotArea>
    </chartFormat>
    <chartFormat chart="7" format="531">
      <pivotArea type="data" outline="0" fieldPosition="0">
        <references count="3">
          <reference field="4294967294" count="1" selected="0">
            <x v="0"/>
          </reference>
          <reference field="0" count="1" selected="0">
            <x v="0"/>
          </reference>
          <reference field="1" count="1" selected="0">
            <x v="3"/>
          </reference>
        </references>
      </pivotArea>
    </chartFormat>
    <chartFormat chart="7" format="532">
      <pivotArea type="data" outline="0" fieldPosition="0">
        <references count="3">
          <reference field="4294967294" count="1" selected="0">
            <x v="0"/>
          </reference>
          <reference field="0" count="1" selected="0">
            <x v="0"/>
          </reference>
          <reference field="1" count="1" selected="0">
            <x v="4"/>
          </reference>
        </references>
      </pivotArea>
    </chartFormat>
    <chartFormat chart="7" format="533">
      <pivotArea type="data" outline="0" fieldPosition="0">
        <references count="3">
          <reference field="4294967294" count="1" selected="0">
            <x v="0"/>
          </reference>
          <reference field="0" count="1" selected="0">
            <x v="0"/>
          </reference>
          <reference field="1" count="1" selected="0">
            <x v="0"/>
          </reference>
        </references>
      </pivotArea>
    </chartFormat>
    <chartFormat chart="7" format="534">
      <pivotArea type="data" outline="0" fieldPosition="0">
        <references count="3">
          <reference field="4294967294" count="1" selected="0">
            <x v="0"/>
          </reference>
          <reference field="0" count="1" selected="0">
            <x v="0"/>
          </reference>
          <reference field="1" count="1" selected="0">
            <x v="2"/>
          </reference>
        </references>
      </pivotArea>
    </chartFormat>
    <chartFormat chart="7" format="535">
      <pivotArea type="data" outline="0" fieldPosition="0">
        <references count="3">
          <reference field="4294967294" count="1" selected="0">
            <x v="0"/>
          </reference>
          <reference field="0" count="1" selected="0">
            <x v="0"/>
          </reference>
          <reference field="1" count="1" selected="0">
            <x v="6"/>
          </reference>
        </references>
      </pivotArea>
    </chartFormat>
    <chartFormat chart="7" format="536">
      <pivotArea type="data" outline="0" fieldPosition="0">
        <references count="3">
          <reference field="4294967294" count="1" selected="0">
            <x v="0"/>
          </reference>
          <reference field="0" count="1" selected="0">
            <x v="0"/>
          </reference>
          <reference field="1" count="1" selected="0">
            <x v="5"/>
          </reference>
        </references>
      </pivotArea>
    </chartFormat>
    <chartFormat chart="7" format="537">
      <pivotArea type="data" outline="0" fieldPosition="0">
        <references count="3">
          <reference field="4294967294" count="1" selected="0">
            <x v="0"/>
          </reference>
          <reference field="0" count="1" selected="0">
            <x v="11"/>
          </reference>
          <reference field="1" count="1" selected="0">
            <x v="1"/>
          </reference>
        </references>
      </pivotArea>
    </chartFormat>
    <chartFormat chart="7" format="538">
      <pivotArea type="data" outline="0" fieldPosition="0">
        <references count="3">
          <reference field="4294967294" count="1" selected="0">
            <x v="0"/>
          </reference>
          <reference field="0" count="1" selected="0">
            <x v="11"/>
          </reference>
          <reference field="1" count="1" selected="0">
            <x v="3"/>
          </reference>
        </references>
      </pivotArea>
    </chartFormat>
    <chartFormat chart="7" format="539">
      <pivotArea type="data" outline="0" fieldPosition="0">
        <references count="3">
          <reference field="4294967294" count="1" selected="0">
            <x v="0"/>
          </reference>
          <reference field="0" count="1" selected="0">
            <x v="11"/>
          </reference>
          <reference field="1" count="1" selected="0">
            <x v="4"/>
          </reference>
        </references>
      </pivotArea>
    </chartFormat>
    <chartFormat chart="7" format="540">
      <pivotArea type="data" outline="0" fieldPosition="0">
        <references count="3">
          <reference field="4294967294" count="1" selected="0">
            <x v="0"/>
          </reference>
          <reference field="0" count="1" selected="0">
            <x v="11"/>
          </reference>
          <reference field="1" count="1" selected="0">
            <x v="0"/>
          </reference>
        </references>
      </pivotArea>
    </chartFormat>
    <chartFormat chart="7" format="541">
      <pivotArea type="data" outline="0" fieldPosition="0">
        <references count="3">
          <reference field="4294967294" count="1" selected="0">
            <x v="0"/>
          </reference>
          <reference field="0" count="1" selected="0">
            <x v="11"/>
          </reference>
          <reference field="1" count="1" selected="0">
            <x v="2"/>
          </reference>
        </references>
      </pivotArea>
    </chartFormat>
    <chartFormat chart="7" format="542">
      <pivotArea type="data" outline="0" fieldPosition="0">
        <references count="3">
          <reference field="4294967294" count="1" selected="0">
            <x v="0"/>
          </reference>
          <reference field="0" count="1" selected="0">
            <x v="11"/>
          </reference>
          <reference field="1" count="1" selected="0">
            <x v="6"/>
          </reference>
        </references>
      </pivotArea>
    </chartFormat>
    <chartFormat chart="7" format="543">
      <pivotArea type="data" outline="0" fieldPosition="0">
        <references count="3">
          <reference field="4294967294" count="1" selected="0">
            <x v="0"/>
          </reference>
          <reference field="0" count="1" selected="0">
            <x v="11"/>
          </reference>
          <reference field="1" count="1" selected="0">
            <x v="5"/>
          </reference>
        </references>
      </pivotArea>
    </chartFormat>
    <chartFormat chart="7" format="544">
      <pivotArea type="data" outline="0" fieldPosition="0">
        <references count="3">
          <reference field="4294967294" count="1" selected="0">
            <x v="0"/>
          </reference>
          <reference field="0" count="1" selected="0">
            <x v="12"/>
          </reference>
          <reference field="1" count="1" selected="0">
            <x v="1"/>
          </reference>
        </references>
      </pivotArea>
    </chartFormat>
    <chartFormat chart="7" format="545">
      <pivotArea type="data" outline="0" fieldPosition="0">
        <references count="3">
          <reference field="4294967294" count="1" selected="0">
            <x v="0"/>
          </reference>
          <reference field="0" count="1" selected="0">
            <x v="12"/>
          </reference>
          <reference field="1" count="1" selected="0">
            <x v="3"/>
          </reference>
        </references>
      </pivotArea>
    </chartFormat>
    <chartFormat chart="7" format="546">
      <pivotArea type="data" outline="0" fieldPosition="0">
        <references count="3">
          <reference field="4294967294" count="1" selected="0">
            <x v="0"/>
          </reference>
          <reference field="0" count="1" selected="0">
            <x v="12"/>
          </reference>
          <reference field="1" count="1" selected="0">
            <x v="4"/>
          </reference>
        </references>
      </pivotArea>
    </chartFormat>
    <chartFormat chart="7" format="547">
      <pivotArea type="data" outline="0" fieldPosition="0">
        <references count="3">
          <reference field="4294967294" count="1" selected="0">
            <x v="0"/>
          </reference>
          <reference field="0" count="1" selected="0">
            <x v="12"/>
          </reference>
          <reference field="1" count="1" selected="0">
            <x v="0"/>
          </reference>
        </references>
      </pivotArea>
    </chartFormat>
    <chartFormat chart="7" format="548">
      <pivotArea type="data" outline="0" fieldPosition="0">
        <references count="3">
          <reference field="4294967294" count="1" selected="0">
            <x v="0"/>
          </reference>
          <reference field="0" count="1" selected="0">
            <x v="12"/>
          </reference>
          <reference field="1" count="1" selected="0">
            <x v="2"/>
          </reference>
        </references>
      </pivotArea>
    </chartFormat>
    <chartFormat chart="7" format="549">
      <pivotArea type="data" outline="0" fieldPosition="0">
        <references count="3">
          <reference field="4294967294" count="1" selected="0">
            <x v="0"/>
          </reference>
          <reference field="0" count="1" selected="0">
            <x v="12"/>
          </reference>
          <reference field="1" count="1" selected="0">
            <x v="6"/>
          </reference>
        </references>
      </pivotArea>
    </chartFormat>
    <chartFormat chart="7" format="550">
      <pivotArea type="data" outline="0" fieldPosition="0">
        <references count="3">
          <reference field="4294967294" count="1" selected="0">
            <x v="0"/>
          </reference>
          <reference field="0" count="1" selected="0">
            <x v="12"/>
          </reference>
          <reference field="1" count="1" selected="0">
            <x v="5"/>
          </reference>
        </references>
      </pivotArea>
    </chartFormat>
    <chartFormat chart="7" format="551">
      <pivotArea type="data" outline="0" fieldPosition="0">
        <references count="3">
          <reference field="4294967294" count="1" selected="0">
            <x v="0"/>
          </reference>
          <reference field="0" count="1" selected="0">
            <x v="13"/>
          </reference>
          <reference field="1" count="1" selected="0">
            <x v="1"/>
          </reference>
        </references>
      </pivotArea>
    </chartFormat>
    <chartFormat chart="7" format="552">
      <pivotArea type="data" outline="0" fieldPosition="0">
        <references count="3">
          <reference field="4294967294" count="1" selected="0">
            <x v="0"/>
          </reference>
          <reference field="0" count="1" selected="0">
            <x v="13"/>
          </reference>
          <reference field="1" count="1" selected="0">
            <x v="3"/>
          </reference>
        </references>
      </pivotArea>
    </chartFormat>
    <chartFormat chart="7" format="553">
      <pivotArea type="data" outline="0" fieldPosition="0">
        <references count="3">
          <reference field="4294967294" count="1" selected="0">
            <x v="0"/>
          </reference>
          <reference field="0" count="1" selected="0">
            <x v="13"/>
          </reference>
          <reference field="1" count="1" selected="0">
            <x v="4"/>
          </reference>
        </references>
      </pivotArea>
    </chartFormat>
    <chartFormat chart="7" format="554">
      <pivotArea type="data" outline="0" fieldPosition="0">
        <references count="3">
          <reference field="4294967294" count="1" selected="0">
            <x v="0"/>
          </reference>
          <reference field="0" count="1" selected="0">
            <x v="13"/>
          </reference>
          <reference field="1" count="1" selected="0">
            <x v="0"/>
          </reference>
        </references>
      </pivotArea>
    </chartFormat>
    <chartFormat chart="7" format="555">
      <pivotArea type="data" outline="0" fieldPosition="0">
        <references count="3">
          <reference field="4294967294" count="1" selected="0">
            <x v="0"/>
          </reference>
          <reference field="0" count="1" selected="0">
            <x v="13"/>
          </reference>
          <reference field="1" count="1" selected="0">
            <x v="2"/>
          </reference>
        </references>
      </pivotArea>
    </chartFormat>
    <chartFormat chart="7" format="556">
      <pivotArea type="data" outline="0" fieldPosition="0">
        <references count="3">
          <reference field="4294967294" count="1" selected="0">
            <x v="0"/>
          </reference>
          <reference field="0" count="1" selected="0">
            <x v="13"/>
          </reference>
          <reference field="1" count="1" selected="0">
            <x v="6"/>
          </reference>
        </references>
      </pivotArea>
    </chartFormat>
    <chartFormat chart="7" format="557">
      <pivotArea type="data" outline="0" fieldPosition="0">
        <references count="3">
          <reference field="4294967294" count="1" selected="0">
            <x v="0"/>
          </reference>
          <reference field="0" count="1" selected="0">
            <x v="13"/>
          </reference>
          <reference field="1" count="1" selected="0">
            <x v="5"/>
          </reference>
        </references>
      </pivotArea>
    </chartFormat>
    <chartFormat chart="7" format="558">
      <pivotArea type="data" outline="0" fieldPosition="0">
        <references count="3">
          <reference field="4294967294" count="1" selected="0">
            <x v="0"/>
          </reference>
          <reference field="0" count="1" selected="0">
            <x v="14"/>
          </reference>
          <reference field="1" count="1" selected="0">
            <x v="1"/>
          </reference>
        </references>
      </pivotArea>
    </chartFormat>
    <chartFormat chart="7" format="559">
      <pivotArea type="data" outline="0" fieldPosition="0">
        <references count="3">
          <reference field="4294967294" count="1" selected="0">
            <x v="0"/>
          </reference>
          <reference field="0" count="1" selected="0">
            <x v="14"/>
          </reference>
          <reference field="1" count="1" selected="0">
            <x v="3"/>
          </reference>
        </references>
      </pivotArea>
    </chartFormat>
    <chartFormat chart="7" format="560">
      <pivotArea type="data" outline="0" fieldPosition="0">
        <references count="3">
          <reference field="4294967294" count="1" selected="0">
            <x v="0"/>
          </reference>
          <reference field="0" count="1" selected="0">
            <x v="14"/>
          </reference>
          <reference field="1" count="1" selected="0">
            <x v="4"/>
          </reference>
        </references>
      </pivotArea>
    </chartFormat>
    <chartFormat chart="7" format="561">
      <pivotArea type="data" outline="0" fieldPosition="0">
        <references count="3">
          <reference field="4294967294" count="1" selected="0">
            <x v="0"/>
          </reference>
          <reference field="0" count="1" selected="0">
            <x v="14"/>
          </reference>
          <reference field="1" count="1" selected="0">
            <x v="0"/>
          </reference>
        </references>
      </pivotArea>
    </chartFormat>
    <chartFormat chart="7" format="562">
      <pivotArea type="data" outline="0" fieldPosition="0">
        <references count="3">
          <reference field="4294967294" count="1" selected="0">
            <x v="0"/>
          </reference>
          <reference field="0" count="1" selected="0">
            <x v="14"/>
          </reference>
          <reference field="1" count="1" selected="0">
            <x v="2"/>
          </reference>
        </references>
      </pivotArea>
    </chartFormat>
    <chartFormat chart="7" format="563">
      <pivotArea type="data" outline="0" fieldPosition="0">
        <references count="3">
          <reference field="4294967294" count="1" selected="0">
            <x v="0"/>
          </reference>
          <reference field="0" count="1" selected="0">
            <x v="14"/>
          </reference>
          <reference field="1" count="1" selected="0">
            <x v="6"/>
          </reference>
        </references>
      </pivotArea>
    </chartFormat>
    <chartFormat chart="7" format="564">
      <pivotArea type="data" outline="0" fieldPosition="0">
        <references count="3">
          <reference field="4294967294" count="1" selected="0">
            <x v="0"/>
          </reference>
          <reference field="0" count="1" selected="0">
            <x v="14"/>
          </reference>
          <reference field="1" count="1" selected="0">
            <x v="5"/>
          </reference>
        </references>
      </pivotArea>
    </chartFormat>
    <chartFormat chart="7" format="565">
      <pivotArea type="data" outline="0" fieldPosition="0">
        <references count="3">
          <reference field="4294967294" count="1" selected="0">
            <x v="0"/>
          </reference>
          <reference field="0" count="1" selected="0">
            <x v="15"/>
          </reference>
          <reference field="1" count="1" selected="0">
            <x v="1"/>
          </reference>
        </references>
      </pivotArea>
    </chartFormat>
    <chartFormat chart="7" format="566">
      <pivotArea type="data" outline="0" fieldPosition="0">
        <references count="3">
          <reference field="4294967294" count="1" selected="0">
            <x v="0"/>
          </reference>
          <reference field="0" count="1" selected="0">
            <x v="15"/>
          </reference>
          <reference field="1" count="1" selected="0">
            <x v="3"/>
          </reference>
        </references>
      </pivotArea>
    </chartFormat>
    <chartFormat chart="7" format="567">
      <pivotArea type="data" outline="0" fieldPosition="0">
        <references count="3">
          <reference field="4294967294" count="1" selected="0">
            <x v="0"/>
          </reference>
          <reference field="0" count="1" selected="0">
            <x v="15"/>
          </reference>
          <reference field="1" count="1" selected="0">
            <x v="4"/>
          </reference>
        </references>
      </pivotArea>
    </chartFormat>
    <chartFormat chart="7" format="568">
      <pivotArea type="data" outline="0" fieldPosition="0">
        <references count="3">
          <reference field="4294967294" count="1" selected="0">
            <x v="0"/>
          </reference>
          <reference field="0" count="1" selected="0">
            <x v="15"/>
          </reference>
          <reference field="1" count="1" selected="0">
            <x v="0"/>
          </reference>
        </references>
      </pivotArea>
    </chartFormat>
    <chartFormat chart="7" format="569">
      <pivotArea type="data" outline="0" fieldPosition="0">
        <references count="3">
          <reference field="4294967294" count="1" selected="0">
            <x v="0"/>
          </reference>
          <reference field="0" count="1" selected="0">
            <x v="15"/>
          </reference>
          <reference field="1" count="1" selected="0">
            <x v="2"/>
          </reference>
        </references>
      </pivotArea>
    </chartFormat>
    <chartFormat chart="7" format="570">
      <pivotArea type="data" outline="0" fieldPosition="0">
        <references count="3">
          <reference field="4294967294" count="1" selected="0">
            <x v="0"/>
          </reference>
          <reference field="0" count="1" selected="0">
            <x v="15"/>
          </reference>
          <reference field="1" count="1" selected="0">
            <x v="6"/>
          </reference>
        </references>
      </pivotArea>
    </chartFormat>
    <chartFormat chart="7" format="571">
      <pivotArea type="data" outline="0" fieldPosition="0">
        <references count="3">
          <reference field="4294967294" count="1" selected="0">
            <x v="0"/>
          </reference>
          <reference field="0" count="1" selected="0">
            <x v="15"/>
          </reference>
          <reference field="1" count="1" selected="0">
            <x v="5"/>
          </reference>
        </references>
      </pivotArea>
    </chartFormat>
    <chartFormat chart="7" format="572">
      <pivotArea type="data" outline="0" fieldPosition="0">
        <references count="3">
          <reference field="4294967294" count="1" selected="0">
            <x v="0"/>
          </reference>
          <reference field="0" count="1" selected="0">
            <x v="16"/>
          </reference>
          <reference field="1" count="1" selected="0">
            <x v="1"/>
          </reference>
        </references>
      </pivotArea>
    </chartFormat>
    <chartFormat chart="7" format="573">
      <pivotArea type="data" outline="0" fieldPosition="0">
        <references count="3">
          <reference field="4294967294" count="1" selected="0">
            <x v="0"/>
          </reference>
          <reference field="0" count="1" selected="0">
            <x v="16"/>
          </reference>
          <reference field="1" count="1" selected="0">
            <x v="3"/>
          </reference>
        </references>
      </pivotArea>
    </chartFormat>
    <chartFormat chart="7" format="574">
      <pivotArea type="data" outline="0" fieldPosition="0">
        <references count="3">
          <reference field="4294967294" count="1" selected="0">
            <x v="0"/>
          </reference>
          <reference field="0" count="1" selected="0">
            <x v="16"/>
          </reference>
          <reference field="1" count="1" selected="0">
            <x v="4"/>
          </reference>
        </references>
      </pivotArea>
    </chartFormat>
    <chartFormat chart="7" format="575">
      <pivotArea type="data" outline="0" fieldPosition="0">
        <references count="3">
          <reference field="4294967294" count="1" selected="0">
            <x v="0"/>
          </reference>
          <reference field="0" count="1" selected="0">
            <x v="16"/>
          </reference>
          <reference field="1" count="1" selected="0">
            <x v="0"/>
          </reference>
        </references>
      </pivotArea>
    </chartFormat>
    <chartFormat chart="7" format="576">
      <pivotArea type="data" outline="0" fieldPosition="0">
        <references count="3">
          <reference field="4294967294" count="1" selected="0">
            <x v="0"/>
          </reference>
          <reference field="0" count="1" selected="0">
            <x v="16"/>
          </reference>
          <reference field="1" count="1" selected="0">
            <x v="2"/>
          </reference>
        </references>
      </pivotArea>
    </chartFormat>
    <chartFormat chart="7" format="577">
      <pivotArea type="data" outline="0" fieldPosition="0">
        <references count="3">
          <reference field="4294967294" count="1" selected="0">
            <x v="0"/>
          </reference>
          <reference field="0" count="1" selected="0">
            <x v="16"/>
          </reference>
          <reference field="1" count="1" selected="0">
            <x v="6"/>
          </reference>
        </references>
      </pivotArea>
    </chartFormat>
    <chartFormat chart="7" format="578">
      <pivotArea type="data" outline="0" fieldPosition="0">
        <references count="3">
          <reference field="4294967294" count="1" selected="0">
            <x v="0"/>
          </reference>
          <reference field="0" count="1" selected="0">
            <x v="16"/>
          </reference>
          <reference field="1" count="1" selected="0">
            <x v="5"/>
          </reference>
        </references>
      </pivotArea>
    </chartFormat>
    <chartFormat chart="7" format="579">
      <pivotArea type="data" outline="0" fieldPosition="0">
        <references count="3">
          <reference field="4294967294" count="1" selected="0">
            <x v="0"/>
          </reference>
          <reference field="0" count="1" selected="0">
            <x v="17"/>
          </reference>
          <reference field="1" count="1" selected="0">
            <x v="1"/>
          </reference>
        </references>
      </pivotArea>
    </chartFormat>
    <chartFormat chart="7" format="580">
      <pivotArea type="data" outline="0" fieldPosition="0">
        <references count="3">
          <reference field="4294967294" count="1" selected="0">
            <x v="0"/>
          </reference>
          <reference field="0" count="1" selected="0">
            <x v="17"/>
          </reference>
          <reference field="1" count="1" selected="0">
            <x v="3"/>
          </reference>
        </references>
      </pivotArea>
    </chartFormat>
    <chartFormat chart="7" format="581">
      <pivotArea type="data" outline="0" fieldPosition="0">
        <references count="3">
          <reference field="4294967294" count="1" selected="0">
            <x v="0"/>
          </reference>
          <reference field="0" count="1" selected="0">
            <x v="17"/>
          </reference>
          <reference field="1" count="1" selected="0">
            <x v="4"/>
          </reference>
        </references>
      </pivotArea>
    </chartFormat>
    <chartFormat chart="7" format="582">
      <pivotArea type="data" outline="0" fieldPosition="0">
        <references count="3">
          <reference field="4294967294" count="1" selected="0">
            <x v="0"/>
          </reference>
          <reference field="0" count="1" selected="0">
            <x v="17"/>
          </reference>
          <reference field="1" count="1" selected="0">
            <x v="0"/>
          </reference>
        </references>
      </pivotArea>
    </chartFormat>
    <chartFormat chart="7" format="583">
      <pivotArea type="data" outline="0" fieldPosition="0">
        <references count="3">
          <reference field="4294967294" count="1" selected="0">
            <x v="0"/>
          </reference>
          <reference field="0" count="1" selected="0">
            <x v="17"/>
          </reference>
          <reference field="1" count="1" selected="0">
            <x v="2"/>
          </reference>
        </references>
      </pivotArea>
    </chartFormat>
    <chartFormat chart="7" format="584">
      <pivotArea type="data" outline="0" fieldPosition="0">
        <references count="3">
          <reference field="4294967294" count="1" selected="0">
            <x v="0"/>
          </reference>
          <reference field="0" count="1" selected="0">
            <x v="17"/>
          </reference>
          <reference field="1" count="1" selected="0">
            <x v="6"/>
          </reference>
        </references>
      </pivotArea>
    </chartFormat>
    <chartFormat chart="7" format="585">
      <pivotArea type="data" outline="0" fieldPosition="0">
        <references count="3">
          <reference field="4294967294" count="1" selected="0">
            <x v="0"/>
          </reference>
          <reference field="0" count="1" selected="0">
            <x v="17"/>
          </reference>
          <reference field="1" count="1" selected="0">
            <x v="5"/>
          </reference>
        </references>
      </pivotArea>
    </chartFormat>
    <chartFormat chart="7" format="586">
      <pivotArea type="data" outline="0" fieldPosition="0">
        <references count="3">
          <reference field="4294967294" count="1" selected="0">
            <x v="0"/>
          </reference>
          <reference field="0" count="1" selected="0">
            <x v="18"/>
          </reference>
          <reference field="1" count="1" selected="0">
            <x v="1"/>
          </reference>
        </references>
      </pivotArea>
    </chartFormat>
    <chartFormat chart="7" format="587">
      <pivotArea type="data" outline="0" fieldPosition="0">
        <references count="3">
          <reference field="4294967294" count="1" selected="0">
            <x v="0"/>
          </reference>
          <reference field="0" count="1" selected="0">
            <x v="18"/>
          </reference>
          <reference field="1" count="1" selected="0">
            <x v="3"/>
          </reference>
        </references>
      </pivotArea>
    </chartFormat>
    <chartFormat chart="7" format="588">
      <pivotArea type="data" outline="0" fieldPosition="0">
        <references count="3">
          <reference field="4294967294" count="1" selected="0">
            <x v="0"/>
          </reference>
          <reference field="0" count="1" selected="0">
            <x v="18"/>
          </reference>
          <reference field="1" count="1" selected="0">
            <x v="4"/>
          </reference>
        </references>
      </pivotArea>
    </chartFormat>
    <chartFormat chart="7" format="589">
      <pivotArea type="data" outline="0" fieldPosition="0">
        <references count="3">
          <reference field="4294967294" count="1" selected="0">
            <x v="0"/>
          </reference>
          <reference field="0" count="1" selected="0">
            <x v="18"/>
          </reference>
          <reference field="1" count="1" selected="0">
            <x v="0"/>
          </reference>
        </references>
      </pivotArea>
    </chartFormat>
    <chartFormat chart="7" format="590">
      <pivotArea type="data" outline="0" fieldPosition="0">
        <references count="3">
          <reference field="4294967294" count="1" selected="0">
            <x v="0"/>
          </reference>
          <reference field="0" count="1" selected="0">
            <x v="18"/>
          </reference>
          <reference field="1" count="1" selected="0">
            <x v="2"/>
          </reference>
        </references>
      </pivotArea>
    </chartFormat>
    <chartFormat chart="7" format="591">
      <pivotArea type="data" outline="0" fieldPosition="0">
        <references count="3">
          <reference field="4294967294" count="1" selected="0">
            <x v="0"/>
          </reference>
          <reference field="0" count="1" selected="0">
            <x v="18"/>
          </reference>
          <reference field="1" count="1" selected="0">
            <x v="6"/>
          </reference>
        </references>
      </pivotArea>
    </chartFormat>
    <chartFormat chart="7" format="592">
      <pivotArea type="data" outline="0" fieldPosition="0">
        <references count="3">
          <reference field="4294967294" count="1" selected="0">
            <x v="0"/>
          </reference>
          <reference field="0" count="1" selected="0">
            <x v="18"/>
          </reference>
          <reference field="1" count="1" selected="0">
            <x v="5"/>
          </reference>
        </references>
      </pivotArea>
    </chartFormat>
    <chartFormat chart="7" format="593">
      <pivotArea type="data" outline="0" fieldPosition="0">
        <references count="3">
          <reference field="4294967294" count="1" selected="0">
            <x v="0"/>
          </reference>
          <reference field="0" count="1" selected="0">
            <x v="19"/>
          </reference>
          <reference field="1" count="1" selected="0">
            <x v="1"/>
          </reference>
        </references>
      </pivotArea>
    </chartFormat>
    <chartFormat chart="7" format="594">
      <pivotArea type="data" outline="0" fieldPosition="0">
        <references count="3">
          <reference field="4294967294" count="1" selected="0">
            <x v="0"/>
          </reference>
          <reference field="0" count="1" selected="0">
            <x v="19"/>
          </reference>
          <reference field="1" count="1" selected="0">
            <x v="3"/>
          </reference>
        </references>
      </pivotArea>
    </chartFormat>
    <chartFormat chart="7" format="595">
      <pivotArea type="data" outline="0" fieldPosition="0">
        <references count="3">
          <reference field="4294967294" count="1" selected="0">
            <x v="0"/>
          </reference>
          <reference field="0" count="1" selected="0">
            <x v="19"/>
          </reference>
          <reference field="1" count="1" selected="0">
            <x v="4"/>
          </reference>
        </references>
      </pivotArea>
    </chartFormat>
    <chartFormat chart="7" format="596">
      <pivotArea type="data" outline="0" fieldPosition="0">
        <references count="3">
          <reference field="4294967294" count="1" selected="0">
            <x v="0"/>
          </reference>
          <reference field="0" count="1" selected="0">
            <x v="19"/>
          </reference>
          <reference field="1" count="1" selected="0">
            <x v="0"/>
          </reference>
        </references>
      </pivotArea>
    </chartFormat>
    <chartFormat chart="7" format="597">
      <pivotArea type="data" outline="0" fieldPosition="0">
        <references count="3">
          <reference field="4294967294" count="1" selected="0">
            <x v="0"/>
          </reference>
          <reference field="0" count="1" selected="0">
            <x v="19"/>
          </reference>
          <reference field="1" count="1" selected="0">
            <x v="2"/>
          </reference>
        </references>
      </pivotArea>
    </chartFormat>
    <chartFormat chart="7" format="598">
      <pivotArea type="data" outline="0" fieldPosition="0">
        <references count="3">
          <reference field="4294967294" count="1" selected="0">
            <x v="0"/>
          </reference>
          <reference field="0" count="1" selected="0">
            <x v="19"/>
          </reference>
          <reference field="1" count="1" selected="0">
            <x v="6"/>
          </reference>
        </references>
      </pivotArea>
    </chartFormat>
    <chartFormat chart="7" format="599">
      <pivotArea type="data" outline="0" fieldPosition="0">
        <references count="3">
          <reference field="4294967294" count="1" selected="0">
            <x v="0"/>
          </reference>
          <reference field="0" count="1" selected="0">
            <x v="19"/>
          </reference>
          <reference field="1" count="1" selected="0">
            <x v="5"/>
          </reference>
        </references>
      </pivotArea>
    </chartFormat>
    <chartFormat chart="7" format="600">
      <pivotArea type="data" outline="0" fieldPosition="0">
        <references count="3">
          <reference field="4294967294" count="1" selected="0">
            <x v="0"/>
          </reference>
          <reference field="0" count="1" selected="0">
            <x v="20"/>
          </reference>
          <reference field="1" count="1" selected="0">
            <x v="1"/>
          </reference>
        </references>
      </pivotArea>
    </chartFormat>
    <chartFormat chart="7" format="601">
      <pivotArea type="data" outline="0" fieldPosition="0">
        <references count="3">
          <reference field="4294967294" count="1" selected="0">
            <x v="0"/>
          </reference>
          <reference field="0" count="1" selected="0">
            <x v="20"/>
          </reference>
          <reference field="1" count="1" selected="0">
            <x v="3"/>
          </reference>
        </references>
      </pivotArea>
    </chartFormat>
    <chartFormat chart="7" format="602">
      <pivotArea type="data" outline="0" fieldPosition="0">
        <references count="3">
          <reference field="4294967294" count="1" selected="0">
            <x v="0"/>
          </reference>
          <reference field="0" count="1" selected="0">
            <x v="20"/>
          </reference>
          <reference field="1" count="1" selected="0">
            <x v="4"/>
          </reference>
        </references>
      </pivotArea>
    </chartFormat>
    <chartFormat chart="7" format="603">
      <pivotArea type="data" outline="0" fieldPosition="0">
        <references count="3">
          <reference field="4294967294" count="1" selected="0">
            <x v="0"/>
          </reference>
          <reference field="0" count="1" selected="0">
            <x v="20"/>
          </reference>
          <reference field="1" count="1" selected="0">
            <x v="0"/>
          </reference>
        </references>
      </pivotArea>
    </chartFormat>
    <chartFormat chart="7" format="604">
      <pivotArea type="data" outline="0" fieldPosition="0">
        <references count="3">
          <reference field="4294967294" count="1" selected="0">
            <x v="0"/>
          </reference>
          <reference field="0" count="1" selected="0">
            <x v="20"/>
          </reference>
          <reference field="1" count="1" selected="0">
            <x v="2"/>
          </reference>
        </references>
      </pivotArea>
    </chartFormat>
    <chartFormat chart="7" format="605">
      <pivotArea type="data" outline="0" fieldPosition="0">
        <references count="3">
          <reference field="4294967294" count="1" selected="0">
            <x v="0"/>
          </reference>
          <reference field="0" count="1" selected="0">
            <x v="20"/>
          </reference>
          <reference field="1" count="1" selected="0">
            <x v="6"/>
          </reference>
        </references>
      </pivotArea>
    </chartFormat>
    <chartFormat chart="7" format="606">
      <pivotArea type="data" outline="0" fieldPosition="0">
        <references count="3">
          <reference field="4294967294" count="1" selected="0">
            <x v="0"/>
          </reference>
          <reference field="0" count="1" selected="0">
            <x v="20"/>
          </reference>
          <reference field="1" count="1" selected="0">
            <x v="5"/>
          </reference>
        </references>
      </pivotArea>
    </chartFormat>
    <chartFormat chart="7" format="607">
      <pivotArea type="data" outline="0" fieldPosition="0">
        <references count="3">
          <reference field="4294967294" count="1" selected="0">
            <x v="0"/>
          </reference>
          <reference field="0" count="1" selected="0">
            <x v="21"/>
          </reference>
          <reference field="1" count="1" selected="0">
            <x v="1"/>
          </reference>
        </references>
      </pivotArea>
    </chartFormat>
    <chartFormat chart="7" format="608">
      <pivotArea type="data" outline="0" fieldPosition="0">
        <references count="3">
          <reference field="4294967294" count="1" selected="0">
            <x v="0"/>
          </reference>
          <reference field="0" count="1" selected="0">
            <x v="21"/>
          </reference>
          <reference field="1" count="1" selected="0">
            <x v="3"/>
          </reference>
        </references>
      </pivotArea>
    </chartFormat>
    <chartFormat chart="7" format="609">
      <pivotArea type="data" outline="0" fieldPosition="0">
        <references count="3">
          <reference field="4294967294" count="1" selected="0">
            <x v="0"/>
          </reference>
          <reference field="0" count="1" selected="0">
            <x v="21"/>
          </reference>
          <reference field="1" count="1" selected="0">
            <x v="4"/>
          </reference>
        </references>
      </pivotArea>
    </chartFormat>
    <chartFormat chart="7" format="610">
      <pivotArea type="data" outline="0" fieldPosition="0">
        <references count="3">
          <reference field="4294967294" count="1" selected="0">
            <x v="0"/>
          </reference>
          <reference field="0" count="1" selected="0">
            <x v="21"/>
          </reference>
          <reference field="1" count="1" selected="0">
            <x v="0"/>
          </reference>
        </references>
      </pivotArea>
    </chartFormat>
    <chartFormat chart="7" format="611">
      <pivotArea type="data" outline="0" fieldPosition="0">
        <references count="3">
          <reference field="4294967294" count="1" selected="0">
            <x v="0"/>
          </reference>
          <reference field="0" count="1" selected="0">
            <x v="21"/>
          </reference>
          <reference field="1" count="1" selected="0">
            <x v="2"/>
          </reference>
        </references>
      </pivotArea>
    </chartFormat>
    <chartFormat chart="7" format="612">
      <pivotArea type="data" outline="0" fieldPosition="0">
        <references count="3">
          <reference field="4294967294" count="1" selected="0">
            <x v="0"/>
          </reference>
          <reference field="0" count="1" selected="0">
            <x v="21"/>
          </reference>
          <reference field="1" count="1" selected="0">
            <x v="6"/>
          </reference>
        </references>
      </pivotArea>
    </chartFormat>
    <chartFormat chart="7" format="613">
      <pivotArea type="data" outline="0" fieldPosition="0">
        <references count="3">
          <reference field="4294967294" count="1" selected="0">
            <x v="0"/>
          </reference>
          <reference field="0" count="1" selected="0">
            <x v="21"/>
          </reference>
          <reference field="1" count="1" selected="0">
            <x v="5"/>
          </reference>
        </references>
      </pivotArea>
    </chartFormat>
    <chartFormat chart="7" format="614">
      <pivotArea type="data" outline="0" fieldPosition="0">
        <references count="3">
          <reference field="4294967294" count="1" selected="0">
            <x v="0"/>
          </reference>
          <reference field="0" count="1" selected="0">
            <x v="22"/>
          </reference>
          <reference field="1" count="1" selected="0">
            <x v="1"/>
          </reference>
        </references>
      </pivotArea>
    </chartFormat>
    <chartFormat chart="7" format="615">
      <pivotArea type="data" outline="0" fieldPosition="0">
        <references count="3">
          <reference field="4294967294" count="1" selected="0">
            <x v="0"/>
          </reference>
          <reference field="0" count="1" selected="0">
            <x v="22"/>
          </reference>
          <reference field="1" count="1" selected="0">
            <x v="3"/>
          </reference>
        </references>
      </pivotArea>
    </chartFormat>
    <chartFormat chart="7" format="616">
      <pivotArea type="data" outline="0" fieldPosition="0">
        <references count="3">
          <reference field="4294967294" count="1" selected="0">
            <x v="0"/>
          </reference>
          <reference field="0" count="1" selected="0">
            <x v="22"/>
          </reference>
          <reference field="1" count="1" selected="0">
            <x v="4"/>
          </reference>
        </references>
      </pivotArea>
    </chartFormat>
    <chartFormat chart="7" format="617">
      <pivotArea type="data" outline="0" fieldPosition="0">
        <references count="3">
          <reference field="4294967294" count="1" selected="0">
            <x v="0"/>
          </reference>
          <reference field="0" count="1" selected="0">
            <x v="22"/>
          </reference>
          <reference field="1" count="1" selected="0">
            <x v="0"/>
          </reference>
        </references>
      </pivotArea>
    </chartFormat>
    <chartFormat chart="7" format="618">
      <pivotArea type="data" outline="0" fieldPosition="0">
        <references count="3">
          <reference field="4294967294" count="1" selected="0">
            <x v="0"/>
          </reference>
          <reference field="0" count="1" selected="0">
            <x v="22"/>
          </reference>
          <reference field="1" count="1" selected="0">
            <x v="2"/>
          </reference>
        </references>
      </pivotArea>
    </chartFormat>
    <chartFormat chart="7" format="619">
      <pivotArea type="data" outline="0" fieldPosition="0">
        <references count="3">
          <reference field="4294967294" count="1" selected="0">
            <x v="0"/>
          </reference>
          <reference field="0" count="1" selected="0">
            <x v="22"/>
          </reference>
          <reference field="1" count="1" selected="0">
            <x v="6"/>
          </reference>
        </references>
      </pivotArea>
    </chartFormat>
    <chartFormat chart="7" format="620">
      <pivotArea type="data" outline="0" fieldPosition="0">
        <references count="3">
          <reference field="4294967294" count="1" selected="0">
            <x v="0"/>
          </reference>
          <reference field="0" count="1" selected="0">
            <x v="22"/>
          </reference>
          <reference field="1" count="1" selected="0">
            <x v="5"/>
          </reference>
        </references>
      </pivotArea>
    </chartFormat>
    <chartFormat chart="7" format="621">
      <pivotArea type="data" outline="0" fieldPosition="0">
        <references count="3">
          <reference field="4294967294" count="1" selected="0">
            <x v="0"/>
          </reference>
          <reference field="0" count="1" selected="0">
            <x v="23"/>
          </reference>
          <reference field="1" count="1" selected="0">
            <x v="1"/>
          </reference>
        </references>
      </pivotArea>
    </chartFormat>
    <chartFormat chart="7" format="622">
      <pivotArea type="data" outline="0" fieldPosition="0">
        <references count="3">
          <reference field="4294967294" count="1" selected="0">
            <x v="0"/>
          </reference>
          <reference field="0" count="1" selected="0">
            <x v="23"/>
          </reference>
          <reference field="1" count="1" selected="0">
            <x v="3"/>
          </reference>
        </references>
      </pivotArea>
    </chartFormat>
    <chartFormat chart="7" format="623">
      <pivotArea type="data" outline="0" fieldPosition="0">
        <references count="3">
          <reference field="4294967294" count="1" selected="0">
            <x v="0"/>
          </reference>
          <reference field="0" count="1" selected="0">
            <x v="23"/>
          </reference>
          <reference field="1" count="1" selected="0">
            <x v="4"/>
          </reference>
        </references>
      </pivotArea>
    </chartFormat>
    <chartFormat chart="7" format="624">
      <pivotArea type="data" outline="0" fieldPosition="0">
        <references count="3">
          <reference field="4294967294" count="1" selected="0">
            <x v="0"/>
          </reference>
          <reference field="0" count="1" selected="0">
            <x v="23"/>
          </reference>
          <reference field="1" count="1" selected="0">
            <x v="0"/>
          </reference>
        </references>
      </pivotArea>
    </chartFormat>
    <chartFormat chart="7" format="625">
      <pivotArea type="data" outline="0" fieldPosition="0">
        <references count="3">
          <reference field="4294967294" count="1" selected="0">
            <x v="0"/>
          </reference>
          <reference field="0" count="1" selected="0">
            <x v="23"/>
          </reference>
          <reference field="1" count="1" selected="0">
            <x v="2"/>
          </reference>
        </references>
      </pivotArea>
    </chartFormat>
    <chartFormat chart="7" format="626">
      <pivotArea type="data" outline="0" fieldPosition="0">
        <references count="3">
          <reference field="4294967294" count="1" selected="0">
            <x v="0"/>
          </reference>
          <reference field="0" count="1" selected="0">
            <x v="23"/>
          </reference>
          <reference field="1" count="1" selected="0">
            <x v="6"/>
          </reference>
        </references>
      </pivotArea>
    </chartFormat>
    <chartFormat chart="7" format="627">
      <pivotArea type="data" outline="0" fieldPosition="0">
        <references count="3">
          <reference field="4294967294" count="1" selected="0">
            <x v="0"/>
          </reference>
          <reference field="0" count="1" selected="0">
            <x v="23"/>
          </reference>
          <reference field="1" count="1" selected="0">
            <x v="5"/>
          </reference>
        </references>
      </pivotArea>
    </chartFormat>
    <chartFormat chart="7" format="628">
      <pivotArea type="data" outline="0" fieldPosition="0">
        <references count="3">
          <reference field="4294967294" count="1" selected="0">
            <x v="0"/>
          </reference>
          <reference field="0" count="1" selected="0">
            <x v="24"/>
          </reference>
          <reference field="1" count="1" selected="0">
            <x v="1"/>
          </reference>
        </references>
      </pivotArea>
    </chartFormat>
    <chartFormat chart="7" format="629">
      <pivotArea type="data" outline="0" fieldPosition="0">
        <references count="3">
          <reference field="4294967294" count="1" selected="0">
            <x v="0"/>
          </reference>
          <reference field="0" count="1" selected="0">
            <x v="24"/>
          </reference>
          <reference field="1" count="1" selected="0">
            <x v="3"/>
          </reference>
        </references>
      </pivotArea>
    </chartFormat>
    <chartFormat chart="7" format="630">
      <pivotArea type="data" outline="0" fieldPosition="0">
        <references count="3">
          <reference field="4294967294" count="1" selected="0">
            <x v="0"/>
          </reference>
          <reference field="0" count="1" selected="0">
            <x v="24"/>
          </reference>
          <reference field="1" count="1" selected="0">
            <x v="4"/>
          </reference>
        </references>
      </pivotArea>
    </chartFormat>
    <chartFormat chart="7" format="631">
      <pivotArea type="data" outline="0" fieldPosition="0">
        <references count="3">
          <reference field="4294967294" count="1" selected="0">
            <x v="0"/>
          </reference>
          <reference field="0" count="1" selected="0">
            <x v="24"/>
          </reference>
          <reference field="1" count="1" selected="0">
            <x v="0"/>
          </reference>
        </references>
      </pivotArea>
    </chartFormat>
    <chartFormat chart="7" format="632">
      <pivotArea type="data" outline="0" fieldPosition="0">
        <references count="3">
          <reference field="4294967294" count="1" selected="0">
            <x v="0"/>
          </reference>
          <reference field="0" count="1" selected="0">
            <x v="24"/>
          </reference>
          <reference field="1" count="1" selected="0">
            <x v="2"/>
          </reference>
        </references>
      </pivotArea>
    </chartFormat>
    <chartFormat chart="7" format="633">
      <pivotArea type="data" outline="0" fieldPosition="0">
        <references count="3">
          <reference field="4294967294" count="1" selected="0">
            <x v="0"/>
          </reference>
          <reference field="0" count="1" selected="0">
            <x v="24"/>
          </reference>
          <reference field="1" count="1" selected="0">
            <x v="6"/>
          </reference>
        </references>
      </pivotArea>
    </chartFormat>
    <chartFormat chart="7" format="634">
      <pivotArea type="data" outline="0" fieldPosition="0">
        <references count="3">
          <reference field="4294967294" count="1" selected="0">
            <x v="0"/>
          </reference>
          <reference field="0" count="1" selected="0">
            <x v="24"/>
          </reference>
          <reference field="1" count="1" selected="0">
            <x v="5"/>
          </reference>
        </references>
      </pivotArea>
    </chartFormat>
    <chartFormat chart="7" format="635">
      <pivotArea type="data" outline="0" fieldPosition="0">
        <references count="3">
          <reference field="4294967294" count="1" selected="0">
            <x v="0"/>
          </reference>
          <reference field="0" count="1" selected="0">
            <x v="25"/>
          </reference>
          <reference field="1" count="1" selected="0">
            <x v="1"/>
          </reference>
        </references>
      </pivotArea>
    </chartFormat>
    <chartFormat chart="7" format="636">
      <pivotArea type="data" outline="0" fieldPosition="0">
        <references count="3">
          <reference field="4294967294" count="1" selected="0">
            <x v="0"/>
          </reference>
          <reference field="0" count="1" selected="0">
            <x v="25"/>
          </reference>
          <reference field="1" count="1" selected="0">
            <x v="3"/>
          </reference>
        </references>
      </pivotArea>
    </chartFormat>
    <chartFormat chart="7" format="637">
      <pivotArea type="data" outline="0" fieldPosition="0">
        <references count="3">
          <reference field="4294967294" count="1" selected="0">
            <x v="0"/>
          </reference>
          <reference field="0" count="1" selected="0">
            <x v="25"/>
          </reference>
          <reference field="1" count="1" selected="0">
            <x v="4"/>
          </reference>
        </references>
      </pivotArea>
    </chartFormat>
    <chartFormat chart="7" format="638">
      <pivotArea type="data" outline="0" fieldPosition="0">
        <references count="3">
          <reference field="4294967294" count="1" selected="0">
            <x v="0"/>
          </reference>
          <reference field="0" count="1" selected="0">
            <x v="25"/>
          </reference>
          <reference field="1" count="1" selected="0">
            <x v="0"/>
          </reference>
        </references>
      </pivotArea>
    </chartFormat>
    <chartFormat chart="7" format="639">
      <pivotArea type="data" outline="0" fieldPosition="0">
        <references count="3">
          <reference field="4294967294" count="1" selected="0">
            <x v="0"/>
          </reference>
          <reference field="0" count="1" selected="0">
            <x v="25"/>
          </reference>
          <reference field="1" count="1" selected="0">
            <x v="2"/>
          </reference>
        </references>
      </pivotArea>
    </chartFormat>
    <chartFormat chart="7" format="640">
      <pivotArea type="data" outline="0" fieldPosition="0">
        <references count="3">
          <reference field="4294967294" count="1" selected="0">
            <x v="0"/>
          </reference>
          <reference field="0" count="1" selected="0">
            <x v="25"/>
          </reference>
          <reference field="1" count="1" selected="0">
            <x v="6"/>
          </reference>
        </references>
      </pivotArea>
    </chartFormat>
    <chartFormat chart="7" format="641">
      <pivotArea type="data" outline="0" fieldPosition="0">
        <references count="3">
          <reference field="4294967294" count="1" selected="0">
            <x v="0"/>
          </reference>
          <reference field="0" count="1" selected="0">
            <x v="25"/>
          </reference>
          <reference field="1" count="1" selected="0">
            <x v="5"/>
          </reference>
        </references>
      </pivotArea>
    </chartFormat>
    <chartFormat chart="7" format="642">
      <pivotArea type="data" outline="0" fieldPosition="0">
        <references count="3">
          <reference field="4294967294" count="1" selected="0">
            <x v="0"/>
          </reference>
          <reference field="0" count="1" selected="0">
            <x v="26"/>
          </reference>
          <reference field="1" count="1" selected="0">
            <x v="1"/>
          </reference>
        </references>
      </pivotArea>
    </chartFormat>
    <chartFormat chart="7" format="643">
      <pivotArea type="data" outline="0" fieldPosition="0">
        <references count="3">
          <reference field="4294967294" count="1" selected="0">
            <x v="0"/>
          </reference>
          <reference field="0" count="1" selected="0">
            <x v="26"/>
          </reference>
          <reference field="1" count="1" selected="0">
            <x v="3"/>
          </reference>
        </references>
      </pivotArea>
    </chartFormat>
    <chartFormat chart="7" format="644">
      <pivotArea type="data" outline="0" fieldPosition="0">
        <references count="3">
          <reference field="4294967294" count="1" selected="0">
            <x v="0"/>
          </reference>
          <reference field="0" count="1" selected="0">
            <x v="26"/>
          </reference>
          <reference field="1" count="1" selected="0">
            <x v="4"/>
          </reference>
        </references>
      </pivotArea>
    </chartFormat>
    <chartFormat chart="7" format="645">
      <pivotArea type="data" outline="0" fieldPosition="0">
        <references count="3">
          <reference field="4294967294" count="1" selected="0">
            <x v="0"/>
          </reference>
          <reference field="0" count="1" selected="0">
            <x v="26"/>
          </reference>
          <reference field="1" count="1" selected="0">
            <x v="0"/>
          </reference>
        </references>
      </pivotArea>
    </chartFormat>
    <chartFormat chart="7" format="646">
      <pivotArea type="data" outline="0" fieldPosition="0">
        <references count="3">
          <reference field="4294967294" count="1" selected="0">
            <x v="0"/>
          </reference>
          <reference field="0" count="1" selected="0">
            <x v="26"/>
          </reference>
          <reference field="1" count="1" selected="0">
            <x v="2"/>
          </reference>
        </references>
      </pivotArea>
    </chartFormat>
    <chartFormat chart="7" format="647">
      <pivotArea type="data" outline="0" fieldPosition="0">
        <references count="3">
          <reference field="4294967294" count="1" selected="0">
            <x v="0"/>
          </reference>
          <reference field="0" count="1" selected="0">
            <x v="26"/>
          </reference>
          <reference field="1" count="1" selected="0">
            <x v="6"/>
          </reference>
        </references>
      </pivotArea>
    </chartFormat>
    <chartFormat chart="7" format="648">
      <pivotArea type="data" outline="0" fieldPosition="0">
        <references count="3">
          <reference field="4294967294" count="1" selected="0">
            <x v="0"/>
          </reference>
          <reference field="0" count="1" selected="0">
            <x v="26"/>
          </reference>
          <reference field="1" count="1" selected="0">
            <x v="5"/>
          </reference>
        </references>
      </pivotArea>
    </chartFormat>
    <chartFormat chart="7" format="649">
      <pivotArea type="data" outline="0" fieldPosition="0">
        <references count="3">
          <reference field="4294967294" count="1" selected="0">
            <x v="0"/>
          </reference>
          <reference field="0" count="1" selected="0">
            <x v="27"/>
          </reference>
          <reference field="1" count="1" selected="0">
            <x v="1"/>
          </reference>
        </references>
      </pivotArea>
    </chartFormat>
    <chartFormat chart="7" format="650">
      <pivotArea type="data" outline="0" fieldPosition="0">
        <references count="3">
          <reference field="4294967294" count="1" selected="0">
            <x v="0"/>
          </reference>
          <reference field="0" count="1" selected="0">
            <x v="27"/>
          </reference>
          <reference field="1" count="1" selected="0">
            <x v="3"/>
          </reference>
        </references>
      </pivotArea>
    </chartFormat>
    <chartFormat chart="7" format="651">
      <pivotArea type="data" outline="0" fieldPosition="0">
        <references count="3">
          <reference field="4294967294" count="1" selected="0">
            <x v="0"/>
          </reference>
          <reference field="0" count="1" selected="0">
            <x v="27"/>
          </reference>
          <reference field="1" count="1" selected="0">
            <x v="4"/>
          </reference>
        </references>
      </pivotArea>
    </chartFormat>
    <chartFormat chart="7" format="652">
      <pivotArea type="data" outline="0" fieldPosition="0">
        <references count="3">
          <reference field="4294967294" count="1" selected="0">
            <x v="0"/>
          </reference>
          <reference field="0" count="1" selected="0">
            <x v="27"/>
          </reference>
          <reference field="1" count="1" selected="0">
            <x v="0"/>
          </reference>
        </references>
      </pivotArea>
    </chartFormat>
    <chartFormat chart="7" format="653">
      <pivotArea type="data" outline="0" fieldPosition="0">
        <references count="3">
          <reference field="4294967294" count="1" selected="0">
            <x v="0"/>
          </reference>
          <reference field="0" count="1" selected="0">
            <x v="27"/>
          </reference>
          <reference field="1" count="1" selected="0">
            <x v="2"/>
          </reference>
        </references>
      </pivotArea>
    </chartFormat>
    <chartFormat chart="7" format="654">
      <pivotArea type="data" outline="0" fieldPosition="0">
        <references count="3">
          <reference field="4294967294" count="1" selected="0">
            <x v="0"/>
          </reference>
          <reference field="0" count="1" selected="0">
            <x v="27"/>
          </reference>
          <reference field="1" count="1" selected="0">
            <x v="6"/>
          </reference>
        </references>
      </pivotArea>
    </chartFormat>
    <chartFormat chart="7" format="655">
      <pivotArea type="data" outline="0" fieldPosition="0">
        <references count="3">
          <reference field="4294967294" count="1" selected="0">
            <x v="0"/>
          </reference>
          <reference field="0" count="1" selected="0">
            <x v="27"/>
          </reference>
          <reference field="1" count="1" selected="0">
            <x v="5"/>
          </reference>
        </references>
      </pivotArea>
    </chartFormat>
    <chartFormat chart="7" format="656">
      <pivotArea type="data" outline="0" fieldPosition="0">
        <references count="3">
          <reference field="4294967294" count="1" selected="0">
            <x v="0"/>
          </reference>
          <reference field="0" count="1" selected="0">
            <x v="28"/>
          </reference>
          <reference field="1" count="1" selected="0">
            <x v="1"/>
          </reference>
        </references>
      </pivotArea>
    </chartFormat>
    <chartFormat chart="7" format="657">
      <pivotArea type="data" outline="0" fieldPosition="0">
        <references count="3">
          <reference field="4294967294" count="1" selected="0">
            <x v="0"/>
          </reference>
          <reference field="0" count="1" selected="0">
            <x v="28"/>
          </reference>
          <reference field="1" count="1" selected="0">
            <x v="3"/>
          </reference>
        </references>
      </pivotArea>
    </chartFormat>
    <chartFormat chart="7" format="658">
      <pivotArea type="data" outline="0" fieldPosition="0">
        <references count="3">
          <reference field="4294967294" count="1" selected="0">
            <x v="0"/>
          </reference>
          <reference field="0" count="1" selected="0">
            <x v="28"/>
          </reference>
          <reference field="1" count="1" selected="0">
            <x v="4"/>
          </reference>
        </references>
      </pivotArea>
    </chartFormat>
    <chartFormat chart="7" format="659">
      <pivotArea type="data" outline="0" fieldPosition="0">
        <references count="3">
          <reference field="4294967294" count="1" selected="0">
            <x v="0"/>
          </reference>
          <reference field="0" count="1" selected="0">
            <x v="28"/>
          </reference>
          <reference field="1" count="1" selected="0">
            <x v="0"/>
          </reference>
        </references>
      </pivotArea>
    </chartFormat>
    <chartFormat chart="7" format="660">
      <pivotArea type="data" outline="0" fieldPosition="0">
        <references count="3">
          <reference field="4294967294" count="1" selected="0">
            <x v="0"/>
          </reference>
          <reference field="0" count="1" selected="0">
            <x v="28"/>
          </reference>
          <reference field="1" count="1" selected="0">
            <x v="2"/>
          </reference>
        </references>
      </pivotArea>
    </chartFormat>
    <chartFormat chart="7" format="661">
      <pivotArea type="data" outline="0" fieldPosition="0">
        <references count="3">
          <reference field="4294967294" count="1" selected="0">
            <x v="0"/>
          </reference>
          <reference field="0" count="1" selected="0">
            <x v="28"/>
          </reference>
          <reference field="1" count="1" selected="0">
            <x v="6"/>
          </reference>
        </references>
      </pivotArea>
    </chartFormat>
    <chartFormat chart="7" format="662">
      <pivotArea type="data" outline="0" fieldPosition="0">
        <references count="3">
          <reference field="4294967294" count="1" selected="0">
            <x v="0"/>
          </reference>
          <reference field="0" count="1" selected="0">
            <x v="28"/>
          </reference>
          <reference field="1" count="1" selected="0">
            <x v="5"/>
          </reference>
        </references>
      </pivotArea>
    </chartFormat>
    <chartFormat chart="7" format="663">
      <pivotArea type="data" outline="0" fieldPosition="0">
        <references count="3">
          <reference field="4294967294" count="1" selected="0">
            <x v="0"/>
          </reference>
          <reference field="0" count="1" selected="0">
            <x v="29"/>
          </reference>
          <reference field="1" count="1" selected="0">
            <x v="1"/>
          </reference>
        </references>
      </pivotArea>
    </chartFormat>
    <chartFormat chart="7" format="664">
      <pivotArea type="data" outline="0" fieldPosition="0">
        <references count="3">
          <reference field="4294967294" count="1" selected="0">
            <x v="0"/>
          </reference>
          <reference field="0" count="1" selected="0">
            <x v="29"/>
          </reference>
          <reference field="1" count="1" selected="0">
            <x v="3"/>
          </reference>
        </references>
      </pivotArea>
    </chartFormat>
    <chartFormat chart="7" format="665">
      <pivotArea type="data" outline="0" fieldPosition="0">
        <references count="3">
          <reference field="4294967294" count="1" selected="0">
            <x v="0"/>
          </reference>
          <reference field="0" count="1" selected="0">
            <x v="29"/>
          </reference>
          <reference field="1" count="1" selected="0">
            <x v="4"/>
          </reference>
        </references>
      </pivotArea>
    </chartFormat>
    <chartFormat chart="7" format="666">
      <pivotArea type="data" outline="0" fieldPosition="0">
        <references count="3">
          <reference field="4294967294" count="1" selected="0">
            <x v="0"/>
          </reference>
          <reference field="0" count="1" selected="0">
            <x v="29"/>
          </reference>
          <reference field="1" count="1" selected="0">
            <x v="0"/>
          </reference>
        </references>
      </pivotArea>
    </chartFormat>
    <chartFormat chart="7" format="667">
      <pivotArea type="data" outline="0" fieldPosition="0">
        <references count="3">
          <reference field="4294967294" count="1" selected="0">
            <x v="0"/>
          </reference>
          <reference field="0" count="1" selected="0">
            <x v="29"/>
          </reference>
          <reference field="1" count="1" selected="0">
            <x v="2"/>
          </reference>
        </references>
      </pivotArea>
    </chartFormat>
    <chartFormat chart="7" format="668">
      <pivotArea type="data" outline="0" fieldPosition="0">
        <references count="3">
          <reference field="4294967294" count="1" selected="0">
            <x v="0"/>
          </reference>
          <reference field="0" count="1" selected="0">
            <x v="29"/>
          </reference>
          <reference field="1" count="1" selected="0">
            <x v="6"/>
          </reference>
        </references>
      </pivotArea>
    </chartFormat>
    <chartFormat chart="7" format="669">
      <pivotArea type="data" outline="0" fieldPosition="0">
        <references count="3">
          <reference field="4294967294" count="1" selected="0">
            <x v="0"/>
          </reference>
          <reference field="0" count="1" selected="0">
            <x v="29"/>
          </reference>
          <reference field="1" count="1" selected="0">
            <x v="5"/>
          </reference>
        </references>
      </pivotArea>
    </chartFormat>
    <chartFormat chart="7" format="670">
      <pivotArea type="data" outline="0" fieldPosition="0">
        <references count="3">
          <reference field="4294967294" count="1" selected="0">
            <x v="0"/>
          </reference>
          <reference field="0" count="1" selected="0">
            <x v="30"/>
          </reference>
          <reference field="1" count="1" selected="0">
            <x v="1"/>
          </reference>
        </references>
      </pivotArea>
    </chartFormat>
    <chartFormat chart="7" format="671">
      <pivotArea type="data" outline="0" fieldPosition="0">
        <references count="3">
          <reference field="4294967294" count="1" selected="0">
            <x v="0"/>
          </reference>
          <reference field="0" count="1" selected="0">
            <x v="30"/>
          </reference>
          <reference field="1" count="1" selected="0">
            <x v="3"/>
          </reference>
        </references>
      </pivotArea>
    </chartFormat>
    <chartFormat chart="7" format="672">
      <pivotArea type="data" outline="0" fieldPosition="0">
        <references count="3">
          <reference field="4294967294" count="1" selected="0">
            <x v="0"/>
          </reference>
          <reference field="0" count="1" selected="0">
            <x v="30"/>
          </reference>
          <reference field="1" count="1" selected="0">
            <x v="4"/>
          </reference>
        </references>
      </pivotArea>
    </chartFormat>
    <chartFormat chart="7" format="673">
      <pivotArea type="data" outline="0" fieldPosition="0">
        <references count="3">
          <reference field="4294967294" count="1" selected="0">
            <x v="0"/>
          </reference>
          <reference field="0" count="1" selected="0">
            <x v="30"/>
          </reference>
          <reference field="1" count="1" selected="0">
            <x v="0"/>
          </reference>
        </references>
      </pivotArea>
    </chartFormat>
    <chartFormat chart="7" format="674">
      <pivotArea type="data" outline="0" fieldPosition="0">
        <references count="3">
          <reference field="4294967294" count="1" selected="0">
            <x v="0"/>
          </reference>
          <reference field="0" count="1" selected="0">
            <x v="30"/>
          </reference>
          <reference field="1" count="1" selected="0">
            <x v="2"/>
          </reference>
        </references>
      </pivotArea>
    </chartFormat>
    <chartFormat chart="7" format="675">
      <pivotArea type="data" outline="0" fieldPosition="0">
        <references count="3">
          <reference field="4294967294" count="1" selected="0">
            <x v="0"/>
          </reference>
          <reference field="0" count="1" selected="0">
            <x v="30"/>
          </reference>
          <reference field="1" count="1" selected="0">
            <x v="6"/>
          </reference>
        </references>
      </pivotArea>
    </chartFormat>
    <chartFormat chart="7" format="676">
      <pivotArea type="data" outline="0" fieldPosition="0">
        <references count="3">
          <reference field="4294967294" count="1" selected="0">
            <x v="0"/>
          </reference>
          <reference field="0" count="1" selected="0">
            <x v="30"/>
          </reference>
          <reference field="1" count="1" selected="0">
            <x v="5"/>
          </reference>
        </references>
      </pivotArea>
    </chartFormat>
    <chartFormat chart="7" format="677">
      <pivotArea type="data" outline="0" fieldPosition="0">
        <references count="3">
          <reference field="4294967294" count="1" selected="0">
            <x v="0"/>
          </reference>
          <reference field="0" count="1" selected="0">
            <x v="31"/>
          </reference>
          <reference field="1" count="1" selected="0">
            <x v="1"/>
          </reference>
        </references>
      </pivotArea>
    </chartFormat>
    <chartFormat chart="7" format="678">
      <pivotArea type="data" outline="0" fieldPosition="0">
        <references count="3">
          <reference field="4294967294" count="1" selected="0">
            <x v="0"/>
          </reference>
          <reference field="0" count="1" selected="0">
            <x v="31"/>
          </reference>
          <reference field="1" count="1" selected="0">
            <x v="3"/>
          </reference>
        </references>
      </pivotArea>
    </chartFormat>
    <chartFormat chart="7" format="679">
      <pivotArea type="data" outline="0" fieldPosition="0">
        <references count="3">
          <reference field="4294967294" count="1" selected="0">
            <x v="0"/>
          </reference>
          <reference field="0" count="1" selected="0">
            <x v="31"/>
          </reference>
          <reference field="1" count="1" selected="0">
            <x v="4"/>
          </reference>
        </references>
      </pivotArea>
    </chartFormat>
    <chartFormat chart="7" format="680">
      <pivotArea type="data" outline="0" fieldPosition="0">
        <references count="3">
          <reference field="4294967294" count="1" selected="0">
            <x v="0"/>
          </reference>
          <reference field="0" count="1" selected="0">
            <x v="31"/>
          </reference>
          <reference field="1" count="1" selected="0">
            <x v="0"/>
          </reference>
        </references>
      </pivotArea>
    </chartFormat>
    <chartFormat chart="7" format="681">
      <pivotArea type="data" outline="0" fieldPosition="0">
        <references count="3">
          <reference field="4294967294" count="1" selected="0">
            <x v="0"/>
          </reference>
          <reference field="0" count="1" selected="0">
            <x v="31"/>
          </reference>
          <reference field="1" count="1" selected="0">
            <x v="2"/>
          </reference>
        </references>
      </pivotArea>
    </chartFormat>
    <chartFormat chart="7" format="682">
      <pivotArea type="data" outline="0" fieldPosition="0">
        <references count="3">
          <reference field="4294967294" count="1" selected="0">
            <x v="0"/>
          </reference>
          <reference field="0" count="1" selected="0">
            <x v="31"/>
          </reference>
          <reference field="1" count="1" selected="0">
            <x v="6"/>
          </reference>
        </references>
      </pivotArea>
    </chartFormat>
    <chartFormat chart="7" format="683">
      <pivotArea type="data" outline="0" fieldPosition="0">
        <references count="3">
          <reference field="4294967294" count="1" selected="0">
            <x v="0"/>
          </reference>
          <reference field="0" count="1" selected="0">
            <x v="31"/>
          </reference>
          <reference field="1" count="1" selected="0">
            <x v="5"/>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7].[Player].&amp;[Clay]"/>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_1]"/>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F0E698-B610-4A75-92CA-4DEFA751A0A3}" name="PivotTable5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Rank" fld="1" baseField="0" baseItem="0"/>
    <dataField name="Sum of Score to Handicap"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f25 (version 2).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364821-81E0-4CD3-9ADB-004CA491FF44}"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43:BA60"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8C8DE8-0E4C-4F42-AEEE-4F1F6DCBF40B}"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L127:AS160" firstHeaderRow="0" firstDataRow="1" firstDataCol="1"/>
  <pivotFields count="30">
    <pivotField axis="axisRow" showAll="0">
      <items count="33">
        <item x="23"/>
        <item x="16"/>
        <item x="6"/>
        <item x="2"/>
        <item x="26"/>
        <item x="12"/>
        <item x="18"/>
        <item x="19"/>
        <item x="0"/>
        <item x="8"/>
        <item x="15"/>
        <item x="14"/>
        <item x="25"/>
        <item x="11"/>
        <item x="28"/>
        <item x="13"/>
        <item x="5"/>
        <item x="27"/>
        <item x="4"/>
        <item x="31"/>
        <item x="17"/>
        <item x="21"/>
        <item x="3"/>
        <item x="9"/>
        <item x="1"/>
        <item x="22"/>
        <item x="29"/>
        <item x="30"/>
        <item x="7"/>
        <item x="10"/>
        <item x="24"/>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7">
    <i>
      <x/>
    </i>
    <i i="1">
      <x v="1"/>
    </i>
    <i i="2">
      <x v="2"/>
    </i>
    <i i="3">
      <x v="3"/>
    </i>
    <i i="4">
      <x v="4"/>
    </i>
    <i i="5">
      <x v="5"/>
    </i>
    <i i="6">
      <x v="6"/>
    </i>
  </colItems>
  <dataFields count="7">
    <dataField name="Sum of Pars" fld="22" baseField="0" baseItem="0"/>
    <dataField name="Sum of Birdies" fld="23" baseField="0" baseItem="0"/>
    <dataField name="Sum of Eagles" fld="24" baseField="0" baseItem="0"/>
    <dataField name="Sum of Bogeys" fld="25" baseField="0" baseItem="0"/>
    <dataField name="Sum of Doubles" fld="26" baseField="0" baseItem="0"/>
    <dataField name="Sum of Triples" fld="27" baseField="0" baseItem="0"/>
    <dataField name="Sum of Quads+"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F64DC5-F4AD-4D4D-900E-E7AD550863B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38:AJ57" firstHeaderRow="1" firstDataRow="1" firstDataCol="1"/>
  <pivotFields count="14">
    <pivotField axis="axisRow" showAll="0">
      <items count="19">
        <item x="0"/>
        <item x="1"/>
        <item x="2"/>
        <item x="3"/>
        <item x="4"/>
        <item x="5"/>
        <item x="6"/>
        <item x="7"/>
        <item x="8"/>
        <item x="9"/>
        <item x="10"/>
        <item x="11"/>
        <item x="12"/>
        <item x="13"/>
        <item x="14"/>
        <item x="15"/>
        <item x="16"/>
        <item x="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verage Over Par"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909A16-7CC3-47DD-A193-FC1E2CD66C7B}" name="PivotTable5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A91:CC124" firstHeaderRow="0" firstDataRow="1" firstDataCol="1"/>
  <pivotFields count="3">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showAll="0"/>
    <pivotField dataField="1"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Score to Handicap" fld="1" baseField="0" baseItem="0"/>
    <dataField name="Sum of Rank"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16487C-6048-445E-838D-2CBD9E8E56ED}" name="P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C132:CD389"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25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x v="12"/>
    </i>
    <i r="1">
      <x/>
    </i>
    <i r="1">
      <x v="1"/>
    </i>
    <i r="1">
      <x v="2"/>
    </i>
    <i r="1">
      <x v="3"/>
    </i>
    <i r="1">
      <x v="4"/>
    </i>
    <i r="1">
      <x v="5"/>
    </i>
    <i r="1">
      <x v="6"/>
    </i>
    <i>
      <x v="13"/>
    </i>
    <i r="1">
      <x/>
    </i>
    <i r="1">
      <x v="1"/>
    </i>
    <i r="1">
      <x v="2"/>
    </i>
    <i r="1">
      <x v="3"/>
    </i>
    <i r="1">
      <x v="4"/>
    </i>
    <i r="1">
      <x v="5"/>
    </i>
    <i r="1">
      <x v="6"/>
    </i>
    <i>
      <x v="14"/>
    </i>
    <i r="1">
      <x/>
    </i>
    <i r="1">
      <x v="1"/>
    </i>
    <i r="1">
      <x v="2"/>
    </i>
    <i r="1">
      <x v="3"/>
    </i>
    <i r="1">
      <x v="4"/>
    </i>
    <i r="1">
      <x v="5"/>
    </i>
    <i r="1">
      <x v="6"/>
    </i>
    <i>
      <x v="15"/>
    </i>
    <i r="1">
      <x/>
    </i>
    <i r="1">
      <x v="1"/>
    </i>
    <i r="1">
      <x v="2"/>
    </i>
    <i r="1">
      <x v="3"/>
    </i>
    <i r="1">
      <x v="4"/>
    </i>
    <i r="1">
      <x v="5"/>
    </i>
    <i r="1">
      <x v="6"/>
    </i>
    <i>
      <x v="16"/>
    </i>
    <i r="1">
      <x/>
    </i>
    <i r="1">
      <x v="1"/>
    </i>
    <i r="1">
      <x v="2"/>
    </i>
    <i r="1">
      <x v="3"/>
    </i>
    <i r="1">
      <x v="4"/>
    </i>
    <i r="1">
      <x v="5"/>
    </i>
    <i r="1">
      <x v="6"/>
    </i>
    <i>
      <x v="17"/>
    </i>
    <i r="1">
      <x/>
    </i>
    <i r="1">
      <x v="1"/>
    </i>
    <i r="1">
      <x v="2"/>
    </i>
    <i r="1">
      <x v="3"/>
    </i>
    <i r="1">
      <x v="4"/>
    </i>
    <i r="1">
      <x v="5"/>
    </i>
    <i r="1">
      <x v="6"/>
    </i>
    <i>
      <x v="18"/>
    </i>
    <i r="1">
      <x/>
    </i>
    <i r="1">
      <x v="1"/>
    </i>
    <i r="1">
      <x v="2"/>
    </i>
    <i r="1">
      <x v="3"/>
    </i>
    <i r="1">
      <x v="4"/>
    </i>
    <i r="1">
      <x v="5"/>
    </i>
    <i r="1">
      <x v="6"/>
    </i>
    <i>
      <x v="19"/>
    </i>
    <i r="1">
      <x/>
    </i>
    <i r="1">
      <x v="1"/>
    </i>
    <i r="1">
      <x v="2"/>
    </i>
    <i r="1">
      <x v="3"/>
    </i>
    <i r="1">
      <x v="4"/>
    </i>
    <i r="1">
      <x v="5"/>
    </i>
    <i r="1">
      <x v="6"/>
    </i>
    <i>
      <x v="20"/>
    </i>
    <i r="1">
      <x/>
    </i>
    <i r="1">
      <x v="1"/>
    </i>
    <i r="1">
      <x v="2"/>
    </i>
    <i r="1">
      <x v="3"/>
    </i>
    <i r="1">
      <x v="4"/>
    </i>
    <i r="1">
      <x v="5"/>
    </i>
    <i r="1">
      <x v="6"/>
    </i>
    <i>
      <x v="21"/>
    </i>
    <i r="1">
      <x/>
    </i>
    <i r="1">
      <x v="1"/>
    </i>
    <i r="1">
      <x v="2"/>
    </i>
    <i r="1">
      <x v="3"/>
    </i>
    <i r="1">
      <x v="4"/>
    </i>
    <i r="1">
      <x v="5"/>
    </i>
    <i r="1">
      <x v="6"/>
    </i>
    <i>
      <x v="22"/>
    </i>
    <i r="1">
      <x/>
    </i>
    <i r="1">
      <x v="1"/>
    </i>
    <i r="1">
      <x v="2"/>
    </i>
    <i r="1">
      <x v="3"/>
    </i>
    <i r="1">
      <x v="4"/>
    </i>
    <i r="1">
      <x v="5"/>
    </i>
    <i r="1">
      <x v="6"/>
    </i>
    <i>
      <x v="23"/>
    </i>
    <i r="1">
      <x/>
    </i>
    <i r="1">
      <x v="1"/>
    </i>
    <i r="1">
      <x v="2"/>
    </i>
    <i r="1">
      <x v="3"/>
    </i>
    <i r="1">
      <x v="4"/>
    </i>
    <i r="1">
      <x v="5"/>
    </i>
    <i r="1">
      <x v="6"/>
    </i>
    <i>
      <x v="24"/>
    </i>
    <i r="1">
      <x/>
    </i>
    <i r="1">
      <x v="1"/>
    </i>
    <i r="1">
      <x v="2"/>
    </i>
    <i r="1">
      <x v="3"/>
    </i>
    <i r="1">
      <x v="4"/>
    </i>
    <i r="1">
      <x v="5"/>
    </i>
    <i r="1">
      <x v="6"/>
    </i>
    <i>
      <x v="25"/>
    </i>
    <i r="1">
      <x/>
    </i>
    <i r="1">
      <x v="1"/>
    </i>
    <i r="1">
      <x v="2"/>
    </i>
    <i r="1">
      <x v="3"/>
    </i>
    <i r="1">
      <x v="4"/>
    </i>
    <i r="1">
      <x v="5"/>
    </i>
    <i r="1">
      <x v="6"/>
    </i>
    <i>
      <x v="26"/>
    </i>
    <i r="1">
      <x/>
    </i>
    <i r="1">
      <x v="1"/>
    </i>
    <i r="1">
      <x v="2"/>
    </i>
    <i r="1">
      <x v="3"/>
    </i>
    <i r="1">
      <x v="4"/>
    </i>
    <i r="1">
      <x v="5"/>
    </i>
    <i r="1">
      <x v="6"/>
    </i>
    <i>
      <x v="27"/>
    </i>
    <i r="1">
      <x/>
    </i>
    <i r="1">
      <x v="1"/>
    </i>
    <i r="1">
      <x v="2"/>
    </i>
    <i r="1">
      <x v="3"/>
    </i>
    <i r="1">
      <x v="4"/>
    </i>
    <i r="1">
      <x v="5"/>
    </i>
    <i r="1">
      <x v="6"/>
    </i>
    <i>
      <x v="28"/>
    </i>
    <i r="1">
      <x/>
    </i>
    <i r="1">
      <x v="1"/>
    </i>
    <i r="1">
      <x v="2"/>
    </i>
    <i r="1">
      <x v="3"/>
    </i>
    <i r="1">
      <x v="4"/>
    </i>
    <i r="1">
      <x v="5"/>
    </i>
    <i r="1">
      <x v="6"/>
    </i>
    <i>
      <x v="29"/>
    </i>
    <i r="1">
      <x/>
    </i>
    <i r="1">
      <x v="1"/>
    </i>
    <i r="1">
      <x v="2"/>
    </i>
    <i r="1">
      <x v="3"/>
    </i>
    <i r="1">
      <x v="4"/>
    </i>
    <i r="1">
      <x v="5"/>
    </i>
    <i r="1">
      <x v="6"/>
    </i>
    <i>
      <x v="30"/>
    </i>
    <i r="1">
      <x/>
    </i>
    <i r="1">
      <x v="1"/>
    </i>
    <i r="1">
      <x v="2"/>
    </i>
    <i r="1">
      <x v="3"/>
    </i>
    <i r="1">
      <x v="4"/>
    </i>
    <i r="1">
      <x v="5"/>
    </i>
    <i r="1">
      <x v="6"/>
    </i>
    <i>
      <x v="31"/>
    </i>
    <i r="1">
      <x/>
    </i>
    <i r="1">
      <x v="1"/>
    </i>
    <i r="1">
      <x v="2"/>
    </i>
    <i r="1">
      <x v="3"/>
    </i>
    <i r="1">
      <x v="4"/>
    </i>
    <i r="1">
      <x v="5"/>
    </i>
    <i r="1">
      <x v="6"/>
    </i>
    <i t="grand">
      <x/>
    </i>
  </rowItems>
  <colItems count="1">
    <i/>
  </colItems>
  <dataFields count="1">
    <dataField name="Sum of Value"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f25 (version 2).xlsx!Table16_1">
        <x15:activeTabTopLevelEntity name="[Table16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73823D-C708-49CA-9041-676083B8F90E}" name="PivotTable4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T67:BV100" firstHeaderRow="0" firstDataRow="1" firstDataCol="1"/>
  <pivotFields count="30">
    <pivotField axis="axisRow" showAll="0">
      <items count="33">
        <item x="23"/>
        <item x="16"/>
        <item x="6"/>
        <item x="2"/>
        <item x="26"/>
        <item x="12"/>
        <item x="18"/>
        <item x="19"/>
        <item x="0"/>
        <item x="8"/>
        <item x="15"/>
        <item x="14"/>
        <item x="25"/>
        <item x="11"/>
        <item x="28"/>
        <item x="13"/>
        <item x="5"/>
        <item x="27"/>
        <item x="4"/>
        <item x="31"/>
        <item x="17"/>
        <item x="21"/>
        <item x="3"/>
        <item x="9"/>
        <item x="1"/>
        <item x="22"/>
        <item x="29"/>
        <item x="30"/>
        <item x="7"/>
        <item x="10"/>
        <item x="24"/>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Score After Handicap" fld="29" baseField="0" baseItem="0"/>
    <dataField name="Sum of Total"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74DF65-644B-47CD-BE60-D8E12B842BCA}" name="Norma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X132:BZ165" firstHeaderRow="0"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Score to Handicap" fld="1" baseField="0" baseItem="0"/>
    <dataField name="Sum of Rank" fld="2" baseField="0" baseItem="0"/>
  </dataFields>
  <pivotHierarchies count="58">
    <pivotHierarchy multipleItemSelectionAllowed="1" dragToData="1">
      <members count="1" level="1">
        <member name="[Table1].[Player].&amp;[And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lf25 (version 2).xlsx!Table7">
        <x15:activeTabTopLevelEntity name="[Table7]"/>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05805B-E5BF-4E1F-99EB-3DA32D24051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31:AE50" firstHeaderRow="1" firstDataRow="1" firstDataCol="1"/>
  <pivotFields count="14">
    <pivotField axis="axisRow" showAll="0">
      <items count="19">
        <item x="0"/>
        <item x="1"/>
        <item x="2"/>
        <item x="3"/>
        <item x="4"/>
        <item x="5"/>
        <item x="6"/>
        <item x="7"/>
        <item x="8"/>
        <item x="9"/>
        <item x="10"/>
        <item x="11"/>
        <item x="12"/>
        <item x="13"/>
        <item x="14"/>
        <item x="15"/>
        <item x="16"/>
        <item x="1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verage Over Par"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C14138-7E3B-4A3E-9FD9-A09812F072C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Y26:AE27" firstHeaderRow="0" firstDataRow="1" firstDataCol="0"/>
  <pivotFields count="14">
    <pivotField showAll="0">
      <items count="19">
        <item h="1" x="0"/>
        <item h="1" x="1"/>
        <item h="1" x="2"/>
        <item h="1" x="3"/>
        <item x="4"/>
        <item h="1" x="5"/>
        <item h="1" x="6"/>
        <item h="1" x="7"/>
        <item h="1" x="8"/>
        <item h="1" x="9"/>
        <item h="1" x="10"/>
        <item h="1" x="11"/>
        <item h="1" x="12"/>
        <item h="1" x="13"/>
        <item h="1" x="14"/>
        <item h="1" x="15"/>
        <item h="1" x="16"/>
        <item h="1" x="17"/>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s>
  <rowItems count="1">
    <i/>
  </rowItems>
  <colFields count="1">
    <field x="-2"/>
  </colFields>
  <colItems count="7">
    <i>
      <x/>
    </i>
    <i i="1">
      <x v="1"/>
    </i>
    <i i="2">
      <x v="2"/>
    </i>
    <i i="3">
      <x v="3"/>
    </i>
    <i i="4">
      <x v="4"/>
    </i>
    <i i="5">
      <x v="5"/>
    </i>
    <i i="6">
      <x v="6"/>
    </i>
  </colItems>
  <dataFields count="7">
    <dataField name="# Eagles" fld="5" baseField="0" baseItem="1"/>
    <dataField name="# Birdies" fld="6" baseField="0" baseItem="1"/>
    <dataField name="# Pars" fld="7" baseField="0" baseItem="1"/>
    <dataField name="# Bogeys" fld="8" baseField="0" baseItem="1"/>
    <dataField name="# Double Bogeys" fld="9" baseField="0" baseItem="1"/>
    <dataField name="# Triples" fld="10" baseField="0" baseItem="1"/>
    <dataField name="# Quads+" fld="11" baseField="0" baseItem="1"/>
  </dataFields>
  <chartFormats count="7">
    <chartFormat chart="3" format="46" series="1">
      <pivotArea type="data" outline="0" fieldPosition="0">
        <references count="1">
          <reference field="4294967294" count="1" selected="0">
            <x v="0"/>
          </reference>
        </references>
      </pivotArea>
    </chartFormat>
    <chartFormat chart="3" format="47" series="1">
      <pivotArea type="data" outline="0" fieldPosition="0">
        <references count="1">
          <reference field="4294967294" count="1" selected="0">
            <x v="1"/>
          </reference>
        </references>
      </pivotArea>
    </chartFormat>
    <chartFormat chart="3" format="48" series="1">
      <pivotArea type="data" outline="0" fieldPosition="0">
        <references count="1">
          <reference field="4294967294" count="1" selected="0">
            <x v="2"/>
          </reference>
        </references>
      </pivotArea>
    </chartFormat>
    <chartFormat chart="3" format="49" series="1">
      <pivotArea type="data" outline="0" fieldPosition="0">
        <references count="1">
          <reference field="4294967294" count="1" selected="0">
            <x v="3"/>
          </reference>
        </references>
      </pivotArea>
    </chartFormat>
    <chartFormat chart="3" format="50" series="1">
      <pivotArea type="data" outline="0" fieldPosition="0">
        <references count="1">
          <reference field="4294967294" count="1" selected="0">
            <x v="4"/>
          </reference>
        </references>
      </pivotArea>
    </chartFormat>
    <chartFormat chart="3" format="51" series="1">
      <pivotArea type="data" outline="0" fieldPosition="0">
        <references count="1">
          <reference field="4294967294" count="1" selected="0">
            <x v="5"/>
          </reference>
        </references>
      </pivotArea>
    </chartFormat>
    <chartFormat chart="3" format="53"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5B00F7-81AC-479F-A769-7331758EFED6}"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106:BS139" firstHeaderRow="1" firstDataRow="1" firstDataCol="1"/>
  <pivotFields count="30">
    <pivotField axis="axisRow" showAll="0">
      <items count="33">
        <item x="23"/>
        <item x="16"/>
        <item x="6"/>
        <item x="2"/>
        <item x="26"/>
        <item x="12"/>
        <item x="18"/>
        <item x="19"/>
        <item x="0"/>
        <item x="8"/>
        <item x="15"/>
        <item x="14"/>
        <item x="25"/>
        <item x="11"/>
        <item x="28"/>
        <item x="13"/>
        <item x="5"/>
        <item x="27"/>
        <item x="4"/>
        <item x="31"/>
        <item x="17"/>
        <item x="21"/>
        <item x="3"/>
        <item x="9"/>
        <item x="1"/>
        <item x="22"/>
        <item x="29"/>
        <item x="30"/>
        <item x="7"/>
        <item x="10"/>
        <item x="24"/>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A7B83A-8E00-450C-953B-8B19CB15D78B}"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M39:AM40" firstHeaderRow="1" firstDataRow="1" firstDataCol="1"/>
  <pivotFields count="14">
    <pivotField showAll="0">
      <items count="19">
        <item h="1" x="0"/>
        <item h="1" x="1"/>
        <item h="1" x="2"/>
        <item h="1" x="3"/>
        <item x="4"/>
        <item h="1" x="5"/>
        <item h="1" x="6"/>
        <item h="1" x="7"/>
        <item h="1" x="8"/>
        <item h="1" x="9"/>
        <item h="1" x="10"/>
        <item h="1" x="11"/>
        <item h="1" x="12"/>
        <item h="1" x="13"/>
        <item h="1" x="14"/>
        <item h="1" x="15"/>
        <item h="1" x="16"/>
        <item h="1"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9"/>
        <item x="17"/>
        <item x="6"/>
        <item x="1"/>
        <item x="16"/>
        <item x="14"/>
        <item x="8"/>
        <item x="4"/>
        <item x="10"/>
        <item x="0"/>
        <item x="12"/>
        <item x="3"/>
        <item x="13"/>
        <item x="11"/>
        <item x="2"/>
        <item x="7"/>
        <item x="15"/>
        <item x="5"/>
        <item t="default"/>
      </items>
    </pivotField>
  </pivotFields>
  <rowFields count="1">
    <field x="13"/>
  </rowFields>
  <rowItems count="1">
    <i>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E26581-9BA2-40FA-96F8-6975547667C6}" name="PivotTable1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L21:AL24" firstHeaderRow="1" firstDataRow="4" firstDataCol="0"/>
  <pivotFields count="14">
    <pivotField axis="axisCol" showAll="0" defaultSubtotal="0">
      <items count="18">
        <item h="1" x="0"/>
        <item h="1" x="1"/>
        <item h="1" x="2"/>
        <item h="1" x="3"/>
        <item x="4"/>
        <item h="1" x="5"/>
        <item h="1" x="6"/>
        <item h="1" x="7"/>
        <item h="1" x="8"/>
        <item h="1" x="9"/>
        <item h="1" x="10"/>
        <item h="1" x="11"/>
        <item h="1" x="12"/>
        <item h="1" x="13"/>
        <item h="1" x="14"/>
        <item h="1" x="15"/>
        <item h="1" x="16"/>
        <item h="1" x="17"/>
      </items>
    </pivotField>
    <pivotField axis="axisCol" showAll="0" defaultSubtotal="0">
      <items count="3">
        <item x="2"/>
        <item x="1"/>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18">
        <item x="7"/>
        <item x="13"/>
        <item x="5"/>
        <item x="17"/>
        <item x="0"/>
        <item x="9"/>
        <item x="1"/>
        <item x="16"/>
        <item x="4"/>
        <item x="11"/>
        <item x="8"/>
        <item x="12"/>
        <item x="2"/>
        <item x="14"/>
        <item x="6"/>
        <item x="15"/>
        <item x="3"/>
        <item x="10"/>
      </items>
    </pivotField>
    <pivotField subtotalTop="0" showAll="0" defaultSubtotal="0"/>
  </pivotFields>
  <rowItems count="1">
    <i/>
  </rowItems>
  <colFields count="3">
    <field x="0"/>
    <field x="1"/>
    <field x="12"/>
  </colFields>
  <colItems count="1">
    <i>
      <x v="4"/>
      <x v="1"/>
      <x v="8"/>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879910E-E5C5-4517-8A0A-091E950C6B6F}"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26:AN29" firstHeaderRow="1" firstDataRow="4" firstDataCol="0"/>
  <pivotFields count="14">
    <pivotField axis="axisCol" showAll="0">
      <items count="19">
        <item h="1" x="0"/>
        <item h="1" x="1"/>
        <item h="1" x="2"/>
        <item h="1" x="3"/>
        <item h="1" x="4"/>
        <item h="1" x="5"/>
        <item h="1" x="6"/>
        <item h="1" x="7"/>
        <item h="1" x="8"/>
        <item h="1" x="9"/>
        <item x="10"/>
        <item h="1" x="11"/>
        <item h="1" x="12"/>
        <item h="1" x="13"/>
        <item h="1" x="14"/>
        <item h="1" x="15"/>
        <item h="1" x="16"/>
        <item h="1" x="17"/>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19">
        <item x="7"/>
        <item x="13"/>
        <item x="5"/>
        <item x="17"/>
        <item x="0"/>
        <item x="9"/>
        <item x="1"/>
        <item x="16"/>
        <item x="4"/>
        <item x="11"/>
        <item x="8"/>
        <item x="12"/>
        <item x="2"/>
        <item x="14"/>
        <item x="6"/>
        <item x="15"/>
        <item x="3"/>
        <item x="10"/>
        <item t="default"/>
      </items>
    </pivotField>
    <pivotField showAll="0"/>
  </pivotFields>
  <rowItems count="1">
    <i/>
  </rowItems>
  <colFields count="3">
    <field x="0"/>
    <field x="1"/>
    <field x="12"/>
  </colFields>
  <colItems count="4">
    <i>
      <x v="10"/>
      <x/>
      <x v="17"/>
    </i>
    <i t="default" r="1">
      <x/>
    </i>
    <i t="default">
      <x v="10"/>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9E13A3-1281-4906-90F0-B0B0897B8E0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26:AH27" firstHeaderRow="0" firstDataRow="1" firstDataCol="0" rowPageCount="1" colPageCount="1"/>
  <pivotFields count="14">
    <pivotField axis="axisPage" multipleItemSelectionAllowed="1" showAll="0">
      <items count="19">
        <item h="1" x="0"/>
        <item h="1" x="1"/>
        <item h="1" x="2"/>
        <item h="1" x="3"/>
        <item x="4"/>
        <item h="1" x="5"/>
        <item h="1" x="6"/>
        <item h="1" x="7"/>
        <item h="1" x="8"/>
        <item h="1" x="9"/>
        <item h="1" x="10"/>
        <item h="1" x="11"/>
        <item h="1" x="12"/>
        <item h="1" x="13"/>
        <item h="1" x="14"/>
        <item h="1" x="15"/>
        <item h="1" x="16"/>
        <item h="1" x="17"/>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pageFields count="1">
    <pageField fld="0" hier="-1"/>
  </pageFields>
  <dataFields count="2">
    <dataField name="Average Score" fld="2" baseField="0" baseItem="1"/>
    <dataField name="Max Strokes" fld="4" baseField="0" baseItem="1"/>
  </dataFields>
  <chartFormats count="2">
    <chartFormat chart="3" format="9"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D06DD9-3FA5-4170-9F58-7DCF96A4A7FE}" autoFormatId="16" applyNumberFormats="0" applyBorderFormats="0" applyFontFormats="0" applyPatternFormats="0" applyAlignmentFormats="0" applyWidthHeightFormats="0">
  <queryTableRefresh nextId="70">
    <queryTableFields count="25">
      <queryTableField id="1" name="Player" tableColumnId="1"/>
      <queryTableField id="26" name="Handicap" tableColumnId="26"/>
      <queryTableField id="27" name="Day" tableColumnId="27"/>
      <queryTableField id="28" name="Hole 1" tableColumnId="28"/>
      <queryTableField id="29" name="Hole 2" tableColumnId="29"/>
      <queryTableField id="30" name="Hole 3" tableColumnId="30"/>
      <queryTableField id="31" name="Hole 4" tableColumnId="31"/>
      <queryTableField id="32" name="Hole 5" tableColumnId="32"/>
      <queryTableField id="33" name="Hole 6" tableColumnId="33"/>
      <queryTableField id="34" name="Hole 7" tableColumnId="34"/>
      <queryTableField id="35" name="Hole 8" tableColumnId="35"/>
      <queryTableField id="36" name="Hole 9" tableColumnId="36"/>
      <queryTableField id="37" name="Hole 10" tableColumnId="37"/>
      <queryTableField id="38" name="Hole 11" tableColumnId="38"/>
      <queryTableField id="39" name="Hole 12" tableColumnId="39"/>
      <queryTableField id="40" name="Hole 13" tableColumnId="40"/>
      <queryTableField id="41" name="Hole 14" tableColumnId="41"/>
      <queryTableField id="42" name="Hole 15" tableColumnId="42"/>
      <queryTableField id="43" name="Hole 16" tableColumnId="43"/>
      <queryTableField id="44" name="Hole 17" tableColumnId="44"/>
      <queryTableField id="45" name="Hole 18" tableColumnId="45"/>
      <queryTableField id="46" name="Total" tableColumnId="46"/>
      <queryTableField id="47" name="Score After Handicap" tableColumnId="47"/>
      <queryTableField id="24" name="Attribute" tableColumnId="24"/>
      <queryTableField id="25" name="Value" tableColumnId="25"/>
    </queryTableFields>
    <queryTableDeletedFields count="22">
      <deletedField name="Total"/>
      <deletedField name="Handicap"/>
      <deletedField name="Day"/>
      <deletedField name="Hole 1"/>
      <deletedField name="Hole 2"/>
      <deletedField name="Hole 3"/>
      <deletedField name="Hole 4"/>
      <deletedField name="Hole 5"/>
      <deletedField name="Hole 6"/>
      <deletedField name="Hole 7"/>
      <deletedField name="Hole 8"/>
      <deletedField name="Hole 9"/>
      <deletedField name="Hole 10"/>
      <deletedField name="Hole 11"/>
      <deletedField name="Hole 12"/>
      <deletedField name="Hole 13"/>
      <deletedField name="Hole 14"/>
      <deletedField name="Hole 15"/>
      <deletedField name="Hole 16"/>
      <deletedField name="Hole 17"/>
      <deletedField name="Hole 18"/>
      <deletedField name="Score After Handicap"/>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e" xr10:uid="{72A440C2-5ABA-49E8-B9AF-FB7508DAA5CD}" sourceName="Hole">
  <pivotTables>
    <pivotTable tabId="1" name="PivotTable11"/>
    <pivotTable tabId="1" name="PivotTable13"/>
    <pivotTable tabId="1" name="PivotTable18"/>
    <pivotTable tabId="1" name="PivotTable9"/>
  </pivotTables>
  <data>
    <tabular pivotCacheId="1580616792">
      <items count="18">
        <i x="0"/>
        <i x="1"/>
        <i x="2"/>
        <i x="3"/>
        <i x="4" s="1"/>
        <i x="5"/>
        <i x="6"/>
        <i x="7"/>
        <i x="8"/>
        <i x="9"/>
        <i x="10"/>
        <i x="11"/>
        <i x="12"/>
        <i x="13"/>
        <i x="14"/>
        <i x="15"/>
        <i x="16"/>
        <i x="1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CDEBF554-7766-4C71-964D-A31887B4D3F6}" sourceName="Player">
  <pivotTables>
    <pivotTable tabId="1" name="PivotTable49"/>
  </pivotTables>
  <data>
    <tabular pivotCacheId="1503772105">
      <items count="32">
        <i x="23" s="1"/>
        <i x="16" s="1"/>
        <i x="6" s="1"/>
        <i x="2" s="1"/>
        <i x="26" s="1"/>
        <i x="12" s="1"/>
        <i x="18" s="1"/>
        <i x="19" s="1"/>
        <i x="0" s="1"/>
        <i x="8" s="1"/>
        <i x="15" s="1"/>
        <i x="14" s="1"/>
        <i x="25" s="1"/>
        <i x="11" s="1"/>
        <i x="28" s="1"/>
        <i x="13" s="1"/>
        <i x="5" s="1"/>
        <i x="27" s="1"/>
        <i x="4" s="1"/>
        <i x="31" s="1"/>
        <i x="17" s="1"/>
        <i x="21" s="1"/>
        <i x="3" s="1"/>
        <i x="9" s="1"/>
        <i x="1" s="1"/>
        <i x="22" s="1"/>
        <i x="29" s="1"/>
        <i x="30" s="1"/>
        <i x="7" s="1"/>
        <i x="10" s="1"/>
        <i x="24"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2" xr10:uid="{19EF9900-308F-45F2-981A-946461215B33}" sourceName="[Table1].[Player]">
  <pivotTables>
    <pivotTable tabId="1" name="Normal"/>
  </pivotTables>
  <data>
    <olap pivotCacheId="2015475111">
      <levels count="2">
        <level uniqueName="[Table1].[Player].[(All)]" sourceCaption="(All)" count="0"/>
        <level uniqueName="[Table1].[Player].[Player]" sourceCaption="Player" count="32">
          <ranges>
            <range startItem="0">
              <i n="[Table1].[Player].&amp;[Andy]" c="Andy"/>
              <i n="[Table1].[Player].&amp;[Ben B]" c="Ben B"/>
              <i n="[Table1].[Player].&amp;[Ben T]" c="Ben T"/>
              <i n="[Table1].[Player].&amp;[Billy]" c="Billy"/>
              <i n="[Table1].[Player].&amp;[Brandon]" c="Brandon"/>
              <i n="[Table1].[Player].&amp;[Brett]" c="Brett"/>
              <i n="[Table1].[Player].&amp;[Bruce]" c="Bruce"/>
              <i n="[Table1].[Player].&amp;[Chad]" c="Chad"/>
              <i n="[Table1].[Player].&amp;[Charlie]" c="Charlie"/>
              <i n="[Table1].[Player].&amp;[Chris]" c="Chris"/>
              <i n="[Table1].[Player].&amp;[Clay]" c="Clay"/>
              <i n="[Table1].[Player].&amp;[Darin]" c="Darin"/>
              <i n="[Table1].[Player].&amp;[Donny]" c="Donny"/>
              <i n="[Table1].[Player].&amp;[Dustin]" c="Dustin"/>
              <i n="[Table1].[Player].&amp;[Dylan]" c="Dylan"/>
              <i n="[Table1].[Player].&amp;[Ethan]" c="Ethan"/>
              <i n="[Table1].[Player].&amp;[Gene]" c="Gene"/>
              <i n="[Table1].[Player].&amp;[Grant]" c="Grant"/>
              <i n="[Table1].[Player].&amp;[Guz]" c="Guz"/>
              <i n="[Table1].[Player].&amp;[Jeff B]" c="Jeff B"/>
              <i n="[Table1].[Player].&amp;[Jesse]" c="Jesse"/>
              <i n="[Table1].[Player].&amp;[Joe]" c="Joe"/>
              <i n="[Table1].[Player].&amp;[Kenny]" c="Kenny"/>
              <i n="[Table1].[Player].&amp;[Mike]" c="Mike"/>
              <i n="[Table1].[Player].&amp;[Nahhe]" c="Nahhe"/>
              <i n="[Table1].[Player].&amp;[Pete]" c="Pete"/>
              <i n="[Table1].[Player].&amp;[Ray]" c="Ray"/>
              <i n="[Table1].[Player].&amp;[Runt]" c="Runt"/>
              <i n="[Table1].[Player].&amp;[Ryan]" c="Ryan"/>
              <i n="[Table1].[Player].&amp;[Seiler]" c="Seiler"/>
              <i n="[Table1].[Player].&amp;[Shayne]" c="Shayne"/>
              <i n="[Table1].[Player].&amp;[Tom]" c="Tom"/>
            </range>
          </ranges>
        </level>
      </levels>
      <selections count="1">
        <selection n="[Table1].[Player].&amp;[And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3" xr10:uid="{0F9C2D98-A092-4A61-A787-4171F5B9D6F9}" sourceName="[Table7].[Player]">
  <pivotTables>
    <pivotTable tabId="8" name="PivotTable55"/>
    <pivotTable tabId="8" name="PivotTable54"/>
  </pivotTables>
  <data>
    <olap pivotCacheId="315075579">
      <levels count="2">
        <level uniqueName="[Table7].[Player].[(All)]" sourceCaption="(All)" count="0"/>
        <level uniqueName="[Table7].[Player].[Player]" sourceCaption="Player" count="32">
          <ranges>
            <range startItem="0">
              <i n="[Table7].[Player].&amp;[Andy]" c="Andy"/>
              <i n="[Table7].[Player].&amp;[Ben B]" c="Ben B"/>
              <i n="[Table7].[Player].&amp;[Ben T]" c="Ben T"/>
              <i n="[Table7].[Player].&amp;[Billy]" c="Billy"/>
              <i n="[Table7].[Player].&amp;[Brandon]" c="Brandon"/>
              <i n="[Table7].[Player].&amp;[Brett]" c="Brett"/>
              <i n="[Table7].[Player].&amp;[Bruce]" c="Bruce"/>
              <i n="[Table7].[Player].&amp;[Chad]" c="Chad"/>
              <i n="[Table7].[Player].&amp;[Charlie]" c="Charlie"/>
              <i n="[Table7].[Player].&amp;[Chris]" c="Chris"/>
              <i n="[Table7].[Player].&amp;[Clay]" c="Clay"/>
              <i n="[Table7].[Player].&amp;[Darin]" c="Darin"/>
              <i n="[Table7].[Player].&amp;[Donny]" c="Donny"/>
              <i n="[Table7].[Player].&amp;[Dustin]" c="Dustin"/>
              <i n="[Table7].[Player].&amp;[Dylan]" c="Dylan"/>
              <i n="[Table7].[Player].&amp;[Ethan]" c="Ethan"/>
              <i n="[Table7].[Player].&amp;[Gene]" c="Gene"/>
              <i n="[Table7].[Player].&amp;[Grant]" c="Grant"/>
              <i n="[Table7].[Player].&amp;[Guz]" c="Guz"/>
              <i n="[Table7].[Player].&amp;[Jeff B]" c="Jeff B"/>
              <i n="[Table7].[Player].&amp;[Jesse]" c="Jesse"/>
              <i n="[Table7].[Player].&amp;[Joe]" c="Joe"/>
              <i n="[Table7].[Player].&amp;[Kenny]" c="Kenny"/>
              <i n="[Table7].[Player].&amp;[Mike]" c="Mike"/>
              <i n="[Table7].[Player].&amp;[Nahhe]" c="Nahhe"/>
              <i n="[Table7].[Player].&amp;[Pete]" c="Pete"/>
              <i n="[Table7].[Player].&amp;[Ray]" c="Ray"/>
              <i n="[Table7].[Player].&amp;[Runt]" c="Runt"/>
              <i n="[Table7].[Player].&amp;[Ryan]" c="Ryan"/>
              <i n="[Table7].[Player].&amp;[Seiler]" c="Seiler"/>
              <i n="[Table7].[Player].&amp;[Shayne]" c="Shayne"/>
              <i n="[Table7].[Player].&amp;[Tom]" c="Tom"/>
            </range>
          </ranges>
        </level>
      </levels>
      <selections count="1">
        <selection n="[Table7].[Player].&amp;[Cl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1" xr10:uid="{7372F2B0-E975-49DD-BD36-EBF63C813C35}" cache="Slicer_Player1" caption="Player" rowHeight="257175"/>
  <slicer name="Player 2" xr10:uid="{DB735395-2D50-4FF2-AB0F-6912F137078F}" cache="Slicer_Player2" caption="Playe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le" xr10:uid="{FC090B91-8BFD-4F6B-BD58-A291A4F449B2}" cache="Slicer_Hole" caption="Hole" style="SlicerStyleOther2" rowHeight="257175"/>
  <slicer name="Player 3" xr10:uid="{21625342-D9C0-40EC-9EFC-DC97EBEF9FF0}" cache="Slicer_Player3" caption="Player" startItem="7"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86F359-7316-4CE5-A463-911A47F6D834}" name="Table16_1" displayName="Table16_1" ref="A1:Y421" tableType="queryTable" totalsRowShown="0">
  <autoFilter ref="A1:Y421" xr:uid="{7486F359-7316-4CE5-A463-911A47F6D834}"/>
  <sortState xmlns:xlrd2="http://schemas.microsoft.com/office/spreadsheetml/2017/richdata2" ref="A2:Y421">
    <sortCondition ref="V1:V421"/>
  </sortState>
  <tableColumns count="25">
    <tableColumn id="1" xr3:uid="{B9AFCA60-6195-46B8-BB7F-DE9A92C9CC2E}" uniqueName="1" name="Player" queryTableFieldId="1" dataDxfId="20"/>
    <tableColumn id="26" xr3:uid="{80FD3C96-A764-4EB6-B666-BBB6CEE79036}" uniqueName="26" name="Handicap" queryTableFieldId="26"/>
    <tableColumn id="27" xr3:uid="{745C7BBC-23BF-460C-B637-2689275D2585}" uniqueName="27" name="Day" queryTableFieldId="27"/>
    <tableColumn id="28" xr3:uid="{D1F28DAE-222D-421D-A2B5-C2B634EDE8FF}" uniqueName="28" name="Hole 1" queryTableFieldId="28"/>
    <tableColumn id="29" xr3:uid="{4DDC15F4-CA31-48BD-B0E0-7B03A7C832B8}" uniqueName="29" name="Hole 2" queryTableFieldId="29"/>
    <tableColumn id="30" xr3:uid="{5D049959-048C-465D-A1DB-8B374F85366A}" uniqueName="30" name="Hole 3" queryTableFieldId="30"/>
    <tableColumn id="31" xr3:uid="{A1F1338C-9F31-4FA2-893B-AFCCB81F2365}" uniqueName="31" name="Hole 4" queryTableFieldId="31"/>
    <tableColumn id="32" xr3:uid="{73DEA6C9-1785-4EC6-8E81-3A330025A7F5}" uniqueName="32" name="Hole 5" queryTableFieldId="32"/>
    <tableColumn id="33" xr3:uid="{99008806-A4E5-4C88-BFD4-B00C920D62E9}" uniqueName="33" name="Hole 6" queryTableFieldId="33"/>
    <tableColumn id="34" xr3:uid="{6A37FFD2-2BB0-4E52-A171-CC5E5ADD31B8}" uniqueName="34" name="Hole 7" queryTableFieldId="34"/>
    <tableColumn id="35" xr3:uid="{517FE682-EFB9-4C96-BF5E-0758C05EEA66}" uniqueName="35" name="Hole 8" queryTableFieldId="35"/>
    <tableColumn id="36" xr3:uid="{93621AA5-1F9F-493F-93C0-C9BB618FEC76}" uniqueName="36" name="Hole 9" queryTableFieldId="36"/>
    <tableColumn id="37" xr3:uid="{E43D0907-350C-41FE-AB64-D8BDB3EC1CC3}" uniqueName="37" name="Hole 10" queryTableFieldId="37"/>
    <tableColumn id="38" xr3:uid="{F9045135-B922-42E3-8E60-2D42BB27AD10}" uniqueName="38" name="Hole 11" queryTableFieldId="38"/>
    <tableColumn id="39" xr3:uid="{E6EA970E-C14C-4508-A0DC-0D7E04ABE995}" uniqueName="39" name="Hole 12" queryTableFieldId="39"/>
    <tableColumn id="40" xr3:uid="{770072AE-8D1B-4B8D-99EE-E2AF2FA60E2E}" uniqueName="40" name="Hole 13" queryTableFieldId="40"/>
    <tableColumn id="41" xr3:uid="{4662A36A-6288-4557-B6FB-A63F57D833B1}" uniqueName="41" name="Hole 14" queryTableFieldId="41"/>
    <tableColumn id="42" xr3:uid="{36DDD05C-532C-453C-A3EB-BD573102C0B3}" uniqueName="42" name="Hole 15" queryTableFieldId="42"/>
    <tableColumn id="43" xr3:uid="{34684CA3-B41A-4A31-BD97-992DBDDED83B}" uniqueName="43" name="Hole 16" queryTableFieldId="43"/>
    <tableColumn id="44" xr3:uid="{426987ED-F994-44F5-A25C-9D78153491CB}" uniqueName="44" name="Hole 17" queryTableFieldId="44"/>
    <tableColumn id="45" xr3:uid="{CA468C30-226F-462F-B3D1-4B2743FBF00B}" uniqueName="45" name="Hole 18" queryTableFieldId="45"/>
    <tableColumn id="46" xr3:uid="{98D4D1C1-225E-4ED4-BB4A-D94A26FD1065}" uniqueName="46" name="Total" queryTableFieldId="46"/>
    <tableColumn id="47" xr3:uid="{5B709B37-0121-40CE-A224-FD139356A8B3}" uniqueName="47" name="Score After Handicap" queryTableFieldId="47"/>
    <tableColumn id="24" xr3:uid="{C9649767-1C67-4FAE-B89A-2C72AD7EB78B}" uniqueName="24" name="Attribute" queryTableFieldId="24" dataDxfId="19"/>
    <tableColumn id="25" xr3:uid="{2B59C998-5A2A-4B7C-8362-A5FF0E2F17D6}" uniqueName="25" name="Value"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29156-DFCC-49BB-8C44-5A77B2BBF1FA}" name="Table1" displayName="Table1" ref="A1:V61" totalsRowShown="0" headerRowDxfId="18">
  <autoFilter ref="A1:V61" xr:uid="{AE129156-DFCC-49BB-8C44-5A77B2BBF1FA}"/>
  <sortState xmlns:xlrd2="http://schemas.microsoft.com/office/spreadsheetml/2017/richdata2" ref="A2:V61">
    <sortCondition descending="1" ref="B1:B61"/>
  </sortState>
  <tableColumns count="22">
    <tableColumn id="1" xr3:uid="{D72CCF30-6AA9-475F-A4BB-7F8C08488A67}" name="Player"/>
    <tableColumn id="2" xr3:uid="{96B81EF0-83DB-41FB-B2E9-E6613070F714}" name="Handicap"/>
    <tableColumn id="3" xr3:uid="{76C73C40-44AB-4DF5-971E-28317B334B32}" name="Day"/>
    <tableColumn id="4" xr3:uid="{229D8079-4B26-4C06-AAAF-9DE4530412B5}" name="Hole 1"/>
    <tableColumn id="5" xr3:uid="{00C870B8-5AA6-4745-B524-5CD65F962BC6}" name="Hole 2"/>
    <tableColumn id="6" xr3:uid="{A7E48538-21EE-48AA-9FC3-D574C634D5FC}" name="Hole 3"/>
    <tableColumn id="7" xr3:uid="{11203D0C-AD2B-4228-A04D-FCC8BE85DCEC}" name="Hole 4"/>
    <tableColumn id="8" xr3:uid="{17E514C1-3ED6-4D63-B483-B9CDEC6D5EE8}" name="Hole 5"/>
    <tableColumn id="9" xr3:uid="{02CB49EA-463D-4CDB-ADDA-52CB4AFE6BCF}" name="Hole 6"/>
    <tableColumn id="10" xr3:uid="{944C90DE-9391-4EC8-A9E8-F294AB49EA3C}" name="Hole 7"/>
    <tableColumn id="11" xr3:uid="{3396371B-020C-479C-AA17-DACCE5727666}" name="Hole 8"/>
    <tableColumn id="12" xr3:uid="{62F09C72-289B-4412-AA97-138D04363936}" name="Hole 9"/>
    <tableColumn id="13" xr3:uid="{C61BDC3D-3D3E-4DB8-B16F-7B8A7A550C2F}" name="Hole 10"/>
    <tableColumn id="14" xr3:uid="{4F01E6A6-C8C7-4330-8953-4D05E0A3FFEF}" name="Hole 11"/>
    <tableColumn id="15" xr3:uid="{8EF84E15-654D-4F37-BCF6-8165D4E7094B}" name="Hole 12"/>
    <tableColumn id="16" xr3:uid="{F0CE0FDD-EC5D-4854-A500-AC53C3B2410C}" name="Hole 13"/>
    <tableColumn id="17" xr3:uid="{5C65E49A-F108-496F-A700-0F4532F0CC4E}" name="Hole 14"/>
    <tableColumn id="18" xr3:uid="{9874D9D4-A0CA-479C-805F-BE5C9CEEA79E}" name="Hole 15"/>
    <tableColumn id="19" xr3:uid="{F4E0340D-45AC-44E9-A9A1-DAB628D088E0}" name="Hole 16"/>
    <tableColumn id="20" xr3:uid="{280879D2-BF63-4F17-B880-60AEBFE7F9E8}" name="Hole 17"/>
    <tableColumn id="21" xr3:uid="{E65B6D47-7095-4453-AA60-A47BD3B1901B}" name="Hole 18"/>
    <tableColumn id="22" xr3:uid="{CD59EC9A-E8B9-4A96-BB2B-B89E8DC4F7AC}" name="Total">
      <calculatedColumnFormula>SUM(D2:U2)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4BA85C-3121-4DB9-B3C4-EEAE3CCE4991}" name="Table2" displayName="Table2" ref="C63:U68" totalsRowCount="1">
  <autoFilter ref="C63:U67" xr:uid="{1B4BA85C-3121-4DB9-B3C4-EEAE3CCE4991}"/>
  <tableColumns count="19">
    <tableColumn id="1" xr3:uid="{665E2FF1-CCF5-4B4E-9118-9E91902E011B}" name="Column1"/>
    <tableColumn id="2" xr3:uid="{5316D8AC-4334-466B-9BD9-A3F6683EC40D}" name="Hole 1"/>
    <tableColumn id="3" xr3:uid="{979FA144-9765-420F-86CB-79A80B19BF52}" name="Hole 2"/>
    <tableColumn id="4" xr3:uid="{EF6367B0-D702-4F62-BC92-08E6B58DAA87}" name="Hole 3"/>
    <tableColumn id="5" xr3:uid="{ED22B0D8-C9CA-4F60-A103-844057EB883D}" name="Hole 4"/>
    <tableColumn id="6" xr3:uid="{E8EF2416-73B8-478E-A6F9-EEDEE8302385}" name="Hole 5"/>
    <tableColumn id="7" xr3:uid="{3A8396F7-E5D2-482E-AED8-7A76EE0A8428}" name="Hole 6"/>
    <tableColumn id="8" xr3:uid="{DEF9406D-0EEE-4142-8178-94C14230DEA2}" name="Hole 7"/>
    <tableColumn id="9" xr3:uid="{CCEF737A-1CE7-4279-920E-484C313C44EB}" name="Hole 8"/>
    <tableColumn id="10" xr3:uid="{1F81D62B-E31D-4F16-9BFD-B56CD9EA844C}" name="Hole 9"/>
    <tableColumn id="11" xr3:uid="{8CAF3C31-B84E-4245-9483-88FEAA59B074}" name="Hole 10"/>
    <tableColumn id="12" xr3:uid="{E327DF32-D51F-43A9-8B08-46B725D00358}" name="Hole 11"/>
    <tableColumn id="13" xr3:uid="{C9A7513B-7668-468A-848A-371F69D4441C}" name="Hole 12"/>
    <tableColumn id="14" xr3:uid="{19926B62-5171-465E-ADF6-EBA0FF31F465}" name="Hole 13"/>
    <tableColumn id="15" xr3:uid="{38F7BF88-8AA8-45BC-A8C5-947EF6B303BB}" name="Hole 14"/>
    <tableColumn id="16" xr3:uid="{A20EA145-5E08-4760-8085-24E0132EDA91}" name="Hole 15"/>
    <tableColumn id="17" xr3:uid="{773B1247-CD72-4B0D-B82A-960BCD8DEDA5}" name="Hole 16"/>
    <tableColumn id="18" xr3:uid="{28534ACA-17BE-48F3-9F7D-E31810ACFB9B}" name="Hole 17"/>
    <tableColumn id="19" xr3:uid="{A90605E7-DA2B-4E27-BCA6-E6F1D2F30976}" name="Hole 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26E541-7F0E-4A34-AC73-4E3A00C727CE}" name="Table3" displayName="Table3" ref="X2:AK20" totalsRowShown="0">
  <autoFilter ref="X2:AK20" xr:uid="{3A26E541-7F0E-4A34-AC73-4E3A00C727CE}"/>
  <tableColumns count="14">
    <tableColumn id="1" xr3:uid="{EDBBDE78-E038-40ED-ACB8-FC8B029C6650}" name="Hole"/>
    <tableColumn id="2" xr3:uid="{03087B68-314F-42D7-B908-6F34BB743965}" name="Par"/>
    <tableColumn id="3" xr3:uid="{85DD2E91-95A4-4317-B562-672351980F93}" name="Average"/>
    <tableColumn id="4" xr3:uid="{5F6831FF-FB59-4052-8899-F354D85BDD69}" name="Average Over Par">
      <calculatedColumnFormula>$Z3 - $Y3</calculatedColumnFormula>
    </tableColumn>
    <tableColumn id="23" xr3:uid="{D670A180-E1B3-4CA5-840D-C9FC88AD7FEA}" name="Max" dataDxfId="17"/>
    <tableColumn id="24" xr3:uid="{977DDCD4-BF9E-4213-AF34-7874556512AE}" name="Eagles">
      <calculatedColumnFormula>COUNTIF(INDEX($D$2:$Z$61, 0, ROW(A1)), $Y3 - 2)</calculatedColumnFormula>
    </tableColumn>
    <tableColumn id="25" xr3:uid="{B7D61109-E19A-44C6-8471-6EF111F79261}" name="Birdies">
      <calculatedColumnFormula>COUNTIF(INDEX($D$2:$Z$61, 0, ROW(A1)), $Y3 - 1)</calculatedColumnFormula>
    </tableColumn>
    <tableColumn id="26" xr3:uid="{FB3C4D2E-DAC3-42E1-B327-0FBAB879EBD5}" name="Pars">
      <calculatedColumnFormula>COUNTIF(INDEX($D$2:$Z$61, 0, ROW(A1)), $Y3)</calculatedColumnFormula>
    </tableColumn>
    <tableColumn id="27" xr3:uid="{589CD1A8-AC81-480F-93CC-1CFD5C33B7EC}" name="Bogeys">
      <calculatedColumnFormula>COUNTIF(INDEX($D$2:$Z$61, 0, ROW(A1)), $Y3 + 1)</calculatedColumnFormula>
    </tableColumn>
    <tableColumn id="28" xr3:uid="{552CC518-AACC-405B-9B10-5A5A1B0CCDEA}" name="Double Bogeys">
      <calculatedColumnFormula>COUNTIF(INDEX($D$2:$Z$61, 0, ROW(A1)), $Y3 + 2)</calculatedColumnFormula>
    </tableColumn>
    <tableColumn id="29" xr3:uid="{4E9F6935-5CB2-4581-BD36-6DC156B18294}" name="Triples">
      <calculatedColumnFormula>COUNTIF(INDEX($D$2:$Z$61, 0, ROW(A1)), $Y3 +3)</calculatedColumnFormula>
    </tableColumn>
    <tableColumn id="30" xr3:uid="{BC414CA1-D23A-4F24-B3B1-D3C60517D3FE}" name="Quadruple +">
      <calculatedColumnFormula array="1">SUMPRODUCT(--(INDEX($D$2:$Z$61, 0, ROW(A1)) &gt;= ($Y3 + 4)))</calculatedColumnFormula>
    </tableColumn>
    <tableColumn id="31" xr3:uid="{09871625-F63F-4D0F-AEAF-51CB6B41026B}" name="Handicap"/>
    <tableColumn id="5" xr3:uid="{4268D8C4-6EEE-4252-8B9B-14264CB4D1E1}" name="Difficulty Rank"/>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0E3BEB-38C9-4F7D-A4FA-5FEB99FF146F}" name="Table4" displayName="Table4" ref="Y31:AA49" totalsRowShown="0">
  <autoFilter ref="Y31:AA49" xr:uid="{1F0E3BEB-38C9-4F7D-A4FA-5FEB99FF146F}"/>
  <tableColumns count="3">
    <tableColumn id="1" xr3:uid="{2F50C58C-60B7-4F4C-9D22-3E93ECAD2CE5}" name="Hole"/>
    <tableColumn id="2" xr3:uid="{2E12140D-2A58-4819-A5D1-359624E0597F}" name="Average Over Par"/>
    <tableColumn id="3" xr3:uid="{5FEB3E19-5057-40BD-800D-45385685137D}" name="Difficulty Ra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3BF95D-C893-4D68-BC25-59A1A1B0A673}" name="Table16" displayName="Table16" ref="AL61:BO121" totalsRowShown="0" headerRowDxfId="16">
  <autoFilter ref="AL61:BO121" xr:uid="{4B3BF95D-C893-4D68-BC25-59A1A1B0A673}"/>
  <sortState xmlns:xlrd2="http://schemas.microsoft.com/office/spreadsheetml/2017/richdata2" ref="AL62:BO121">
    <sortCondition descending="1" ref="BO61:BO121"/>
  </sortState>
  <tableColumns count="30">
    <tableColumn id="1" xr3:uid="{C0BD287A-8EC9-4BDE-B4E7-0FEDD9260E0B}" name="Player"/>
    <tableColumn id="2" xr3:uid="{BD5730CC-6878-441E-866E-5A49FF3021BE}" name="Handicap"/>
    <tableColumn id="3" xr3:uid="{1DC1D1C1-0F6E-4727-87BC-C91A3886F5E9}" name="Day"/>
    <tableColumn id="4" xr3:uid="{5349A9AC-8088-489A-97B6-8D426E883A01}" name="Hole 1"/>
    <tableColumn id="5" xr3:uid="{12BCD8A7-FDD5-42C6-93AE-BC1EF70DDD3E}" name="Hole 2"/>
    <tableColumn id="6" xr3:uid="{D4D28CE4-6CE8-4C3C-BCC7-6038EA9672E5}" name="Hole 3"/>
    <tableColumn id="7" xr3:uid="{5EA1133D-7CCC-4617-B380-24766005613E}" name="Hole 4"/>
    <tableColumn id="8" xr3:uid="{A7054337-BD7A-428C-ADFB-7C539CF2D282}" name="Hole 5"/>
    <tableColumn id="9" xr3:uid="{C02E160B-3418-492D-ACEA-7337759CFF72}" name="Hole 6"/>
    <tableColumn id="10" xr3:uid="{2DCC101A-C364-40F8-BA08-A4F38AE00532}" name="Hole 7"/>
    <tableColumn id="11" xr3:uid="{94E3CDB6-01FE-4CFE-BEB5-0C66B04F858D}" name="Hole 8"/>
    <tableColumn id="12" xr3:uid="{4A6F914C-DD05-4B37-9B27-5C348BE6CCE0}" name="Hole 9"/>
    <tableColumn id="13" xr3:uid="{310B5586-FB70-4952-B7E7-5BB9334520BA}" name="Hole 10"/>
    <tableColumn id="14" xr3:uid="{7AD115B3-A4D4-4A9B-98BC-C8B4A32C9D8A}" name="Hole 11"/>
    <tableColumn id="15" xr3:uid="{C04B164F-2CC0-4A8D-BFB6-B5244F252A34}" name="Hole 12"/>
    <tableColumn id="16" xr3:uid="{BD39C7D9-8891-41C2-BBED-8BDB06D4EBBF}" name="Hole 13"/>
    <tableColumn id="17" xr3:uid="{01D163DB-CB7A-49FF-8DD7-A166A9875384}" name="Hole 14"/>
    <tableColumn id="18" xr3:uid="{65A310DB-16E3-4E24-8083-462CB72D9F53}" name="Hole 15"/>
    <tableColumn id="19" xr3:uid="{472674E5-D115-4225-A74F-6980065EB2B1}" name="Hole 16"/>
    <tableColumn id="20" xr3:uid="{A5671855-7D3F-4881-8F5F-515BF0E7B989}" name="Hole 17"/>
    <tableColumn id="21" xr3:uid="{C982CC94-DCD0-4898-A432-5588AB9A667D}" name="Hole 18"/>
    <tableColumn id="22" xr3:uid="{A5534569-7B5F-4797-87CE-70EF10AA214A}" name="Total">
      <calculatedColumnFormula>SUM(AO62:BF62)</calculatedColumnFormula>
    </tableColumn>
    <tableColumn id="23" xr3:uid="{FBA54CE0-3F75-4DAD-8CC8-307753F16985}" name="Pars" dataDxfId="15">
      <calculatedColumnFormula array="1">SUMPRODUCT(--($AO62:$BF62 = TRANSPOSE($Y$3:$Y$20)))</calculatedColumnFormula>
    </tableColumn>
    <tableColumn id="24" xr3:uid="{409041CF-C59A-454A-9615-99CC0F5737DB}" name="Birdies" dataDxfId="14">
      <calculatedColumnFormula array="1">SUMPRODUCT(--($AO62:$BF62 = (TRANSPOSE($Y$3:$Y$20)) - 1))</calculatedColumnFormula>
    </tableColumn>
    <tableColumn id="25" xr3:uid="{BE22A2AD-5821-4E3B-BCBB-07CD61DEDBD3}" name="Eagles" dataDxfId="13">
      <calculatedColumnFormula array="1">SUMPRODUCT(--($AO62:$BF62 = (TRANSPOSE($Y$3:$Y$20)) - 2))</calculatedColumnFormula>
    </tableColumn>
    <tableColumn id="26" xr3:uid="{D485F487-DA01-4D11-9990-63F65B885F1F}" name="Bogeys" dataDxfId="12">
      <calculatedColumnFormula array="1">SUMPRODUCT(--($AO62:$BF62 = (TRANSPOSE($Y$3:$Y$20)) + 1))</calculatedColumnFormula>
    </tableColumn>
    <tableColumn id="27" xr3:uid="{A2EB9BC6-4DCF-4A33-B354-67F97B1B8DCC}" name="Doubles" dataDxfId="11">
      <calculatedColumnFormula array="1">SUMPRODUCT(--($AO62:$BF62 = (TRANSPOSE($Y$3:$Y$20)) + 2))</calculatedColumnFormula>
    </tableColumn>
    <tableColumn id="28" xr3:uid="{E925B89F-4271-4BEB-AF54-E3679A0C0D2E}" name="Triples" dataDxfId="10">
      <calculatedColumnFormula array="1">SUMPRODUCT(--($AO62:$BF62 = (TRANSPOSE($Y$3:$Y$20)) + 3))</calculatedColumnFormula>
    </tableColumn>
    <tableColumn id="29" xr3:uid="{02F7C3AE-6288-49F2-A2CE-CD2453DE8C3C}" name="Quads+" dataDxfId="9">
      <calculatedColumnFormula array="1">SUMPRODUCT(--($AO62:$BF62 &gt;= (TRANSPOSE($Y$3:$Y$20)) + 4))</calculatedColumnFormula>
    </tableColumn>
    <tableColumn id="30" xr3:uid="{DA58FE75-2915-4CCE-BD12-3563CF8703A6}" name="Score After Handicap" dataDxfId="8">
      <calculatedColumnFormula>$BG62 - 71 - $AM62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D45B98-D7AD-432B-AB8A-8C6416C0EB61}" name="Table7" displayName="Table7" ref="BW91:BY123" totalsRowShown="0">
  <autoFilter ref="BW91:BY123" xr:uid="{3ED45B98-D7AD-432B-AB8A-8C6416C0EB61}"/>
  <tableColumns count="3">
    <tableColumn id="1" xr3:uid="{5FAA7658-1C3B-453B-BAFE-03DF369E07CB}" name="Player" dataDxfId="7"/>
    <tableColumn id="2" xr3:uid="{7DB34FDF-4782-4AB0-87CA-CE7CDC870968}" name="Score to Handicap" dataDxfId="6"/>
    <tableColumn id="3" xr3:uid="{8E862E73-B03F-48FF-A5FA-6B2A658E3BC0}" name="Ran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936B8F-A7B4-440B-99E3-A33C07116F6C}" name="Table8" displayName="Table8" ref="Y52:AB70" totalsRowShown="0" tableBorderDxfId="5">
  <autoFilter ref="Y52:AB70" xr:uid="{41936B8F-A7B4-440B-99E3-A33C07116F6C}"/>
  <tableColumns count="4">
    <tableColumn id="1" xr3:uid="{DC734485-7D90-4E10-B000-6E20E996E5D0}" name="Hole" dataDxfId="4"/>
    <tableColumn id="2" xr3:uid="{10FA9776-66CF-4E8F-9FF2-822787C67D00}" name="Average Over Par" dataDxfId="3"/>
    <tableColumn id="3" xr3:uid="{B7BF37CD-2090-4C2C-9C03-80EA51FC20B3}" name="Others" dataDxfId="2">
      <calculatedColumnFormula>IF($Y53&lt;&gt;$AM$17,$Z53,NA())</calculatedColumnFormula>
    </tableColumn>
    <tableColumn id="4" xr3:uid="{916BDE39-C08E-4194-82DA-AFAEDA91683E}" name="Selected Hole" dataDxfId="1">
      <calculatedColumnFormula>IF($Y53=$AM$17,$Z53,NA())</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3D217B-6FCF-45A0-982D-018B0BBDF95A}" name="Table110" displayName="Table110" ref="BA148:BV208" totalsRowShown="0" headerRowDxfId="0">
  <autoFilter ref="BA148:BV208" xr:uid="{BB3D217B-6FCF-45A0-982D-018B0BBDF95A}"/>
  <sortState xmlns:xlrd2="http://schemas.microsoft.com/office/spreadsheetml/2017/richdata2" ref="BA149:BV208">
    <sortCondition ref="BC148:BC208"/>
  </sortState>
  <tableColumns count="22">
    <tableColumn id="1" xr3:uid="{EB8B36FC-A60B-4BE1-B999-381888FCD823}" name="Player"/>
    <tableColumn id="2" xr3:uid="{4C1F74D9-B5A7-4274-B967-618B25F38828}" name="Handicap"/>
    <tableColumn id="3" xr3:uid="{1AC8F05E-48DC-4475-81A8-A69775DF1F18}" name="Day"/>
    <tableColumn id="4" xr3:uid="{85B21728-FD70-4088-83A8-41B6243526AD}" name="Hole 1"/>
    <tableColumn id="5" xr3:uid="{883E9BCA-B5A2-43A3-8D2A-B637251B4C29}" name="Hole 2"/>
    <tableColumn id="6" xr3:uid="{F5908770-92F0-4810-8A22-17BE25B3B208}" name="Hole 3"/>
    <tableColumn id="7" xr3:uid="{762E3DC2-3DF2-4325-8980-8A358F633E92}" name="Hole 4"/>
    <tableColumn id="8" xr3:uid="{77BE27AC-F126-4B44-B2FB-7D5CA97E3372}" name="Hole 5"/>
    <tableColumn id="9" xr3:uid="{DAE693E0-F41C-4B6F-838A-F8871174607D}" name="Hole 6"/>
    <tableColumn id="10" xr3:uid="{63D65F7F-3E4C-4002-A69C-02C454C933E2}" name="Hole 7"/>
    <tableColumn id="11" xr3:uid="{34D99630-D7DB-489C-A7E5-624C1BE0AE75}" name="Hole 8"/>
    <tableColumn id="12" xr3:uid="{72F03F51-6FF4-4A4F-9330-00AAB10DC038}" name="Hole 9"/>
    <tableColumn id="13" xr3:uid="{AFAA709E-E6E9-477A-8BA1-B2F13B1DC8EC}" name="Hole 10"/>
    <tableColumn id="14" xr3:uid="{AFE8A7E4-E6C8-417C-8EA0-EAC407E5A6B8}" name="Hole 11"/>
    <tableColumn id="15" xr3:uid="{09212B50-1171-47F9-8BFD-476B7B13F365}" name="Hole 12"/>
    <tableColumn id="16" xr3:uid="{BCAE31F8-1383-4EBB-87B8-B0824AB8FF47}" name="Hole 13"/>
    <tableColumn id="17" xr3:uid="{00E46D37-C100-43F4-8C0A-8457C75A9721}" name="Hole 14"/>
    <tableColumn id="18" xr3:uid="{472F4A2B-5952-436D-821C-07ABCCFDAB47}" name="Hole 15"/>
    <tableColumn id="19" xr3:uid="{A65130BC-C883-4CF2-BEC3-B9F9FDC77CBD}" name="Hole 16"/>
    <tableColumn id="20" xr3:uid="{6F084F46-F13B-4F11-ADBB-3CFF202D1DAD}" name="Hole 17"/>
    <tableColumn id="21" xr3:uid="{D708FB78-2B4C-4554-9C6F-3A425F2C545E}" name="Hole 18"/>
    <tableColumn id="22" xr3:uid="{132CC37F-C81D-4EF3-AB8D-164C40381AED}" name="Total">
      <calculatedColumnFormula>SUM(BD149:BU149)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18" Type="http://schemas.openxmlformats.org/officeDocument/2006/relationships/table" Target="../tables/table4.xml"/><Relationship Id="rId3" Type="http://schemas.openxmlformats.org/officeDocument/2006/relationships/pivotTable" Target="../pivotTables/pivotTable7.xml"/><Relationship Id="rId21" Type="http://schemas.openxmlformats.org/officeDocument/2006/relationships/table" Target="../tables/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table" Target="../tables/table3.xml"/><Relationship Id="rId2" Type="http://schemas.openxmlformats.org/officeDocument/2006/relationships/pivotTable" Target="../pivotTables/pivotTable6.xml"/><Relationship Id="rId16" Type="http://schemas.openxmlformats.org/officeDocument/2006/relationships/table" Target="../tables/table2.xml"/><Relationship Id="rId20" Type="http://schemas.openxmlformats.org/officeDocument/2006/relationships/table" Target="../tables/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24" Type="http://schemas.microsoft.com/office/2007/relationships/slicer" Target="../slicers/slicer1.xml"/><Relationship Id="rId5" Type="http://schemas.openxmlformats.org/officeDocument/2006/relationships/pivotTable" Target="../pivotTables/pivotTable9.xml"/><Relationship Id="rId15" Type="http://schemas.openxmlformats.org/officeDocument/2006/relationships/drawing" Target="../drawings/drawing1.xml"/><Relationship Id="rId23" Type="http://schemas.openxmlformats.org/officeDocument/2006/relationships/table" Target="../tables/table9.xml"/><Relationship Id="rId10" Type="http://schemas.openxmlformats.org/officeDocument/2006/relationships/pivotTable" Target="../pivotTables/pivotTable14.xml"/><Relationship Id="rId19" Type="http://schemas.openxmlformats.org/officeDocument/2006/relationships/table" Target="../tables/table5.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 Id="rId22" Type="http://schemas.openxmlformats.org/officeDocument/2006/relationships/table" Target="../tables/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F88B-0EEF-481D-A0C0-65141D5EA11E}">
  <dimension ref="A1:AE421"/>
  <sheetViews>
    <sheetView topLeftCell="I1" workbookViewId="0"/>
  </sheetViews>
  <sheetFormatPr defaultRowHeight="15" x14ac:dyDescent="0.25"/>
  <cols>
    <col min="1" max="1" width="8.85546875" bestFit="1" customWidth="1"/>
    <col min="2" max="2" width="11.7109375" bestFit="1" customWidth="1"/>
    <col min="3" max="3" width="6.7109375" bestFit="1" customWidth="1"/>
    <col min="4" max="12" width="9" bestFit="1" customWidth="1"/>
    <col min="13" max="21" width="10" bestFit="1" customWidth="1"/>
    <col min="22" max="22" width="7.7109375" bestFit="1" customWidth="1"/>
    <col min="23" max="23" width="22.42578125" bestFit="1" customWidth="1"/>
    <col min="24" max="24" width="11.28515625" bestFit="1" customWidth="1"/>
    <col min="25" max="25" width="8.28515625" customWidth="1"/>
    <col min="28" max="30" width="13.42578125" bestFit="1" customWidth="1"/>
    <col min="31" max="31" width="12.7109375" bestFit="1" customWidth="1"/>
    <col min="32" max="32" width="17.5703125" bestFit="1" customWidth="1"/>
    <col min="33" max="34" width="13.57031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90</v>
      </c>
      <c r="X1" t="s">
        <v>98</v>
      </c>
      <c r="Y1" t="s">
        <v>99</v>
      </c>
    </row>
    <row r="2" spans="1:31" x14ac:dyDescent="0.25">
      <c r="A2" t="s">
        <v>40</v>
      </c>
      <c r="B2">
        <v>7</v>
      </c>
      <c r="C2">
        <v>2</v>
      </c>
      <c r="D2">
        <v>5</v>
      </c>
      <c r="E2">
        <v>6</v>
      </c>
      <c r="F2">
        <v>4</v>
      </c>
      <c r="G2">
        <v>3</v>
      </c>
      <c r="H2">
        <v>4</v>
      </c>
      <c r="I2">
        <v>4</v>
      </c>
      <c r="J2">
        <v>4</v>
      </c>
      <c r="K2">
        <v>4</v>
      </c>
      <c r="L2">
        <v>5</v>
      </c>
      <c r="M2">
        <v>4</v>
      </c>
      <c r="N2">
        <v>3</v>
      </c>
      <c r="O2">
        <v>4</v>
      </c>
      <c r="P2">
        <v>4</v>
      </c>
      <c r="Q2">
        <v>6</v>
      </c>
      <c r="R2">
        <v>3</v>
      </c>
      <c r="S2">
        <v>3</v>
      </c>
      <c r="T2">
        <v>4</v>
      </c>
      <c r="U2">
        <v>5</v>
      </c>
      <c r="V2">
        <v>75</v>
      </c>
      <c r="W2">
        <v>-3</v>
      </c>
      <c r="X2" t="s">
        <v>66</v>
      </c>
      <c r="Y2">
        <v>11</v>
      </c>
    </row>
    <row r="3" spans="1:31" x14ac:dyDescent="0.25">
      <c r="A3" t="s">
        <v>40</v>
      </c>
      <c r="B3">
        <v>7</v>
      </c>
      <c r="C3">
        <v>2</v>
      </c>
      <c r="D3">
        <v>5</v>
      </c>
      <c r="E3">
        <v>6</v>
      </c>
      <c r="F3">
        <v>4</v>
      </c>
      <c r="G3">
        <v>3</v>
      </c>
      <c r="H3">
        <v>4</v>
      </c>
      <c r="I3">
        <v>4</v>
      </c>
      <c r="J3">
        <v>4</v>
      </c>
      <c r="K3">
        <v>4</v>
      </c>
      <c r="L3">
        <v>5</v>
      </c>
      <c r="M3">
        <v>4</v>
      </c>
      <c r="N3">
        <v>3</v>
      </c>
      <c r="O3">
        <v>4</v>
      </c>
      <c r="P3">
        <v>4</v>
      </c>
      <c r="Q3">
        <v>6</v>
      </c>
      <c r="R3">
        <v>3</v>
      </c>
      <c r="S3">
        <v>3</v>
      </c>
      <c r="T3">
        <v>4</v>
      </c>
      <c r="U3">
        <v>5</v>
      </c>
      <c r="V3">
        <v>75</v>
      </c>
      <c r="W3">
        <v>-3</v>
      </c>
      <c r="X3" t="s">
        <v>65</v>
      </c>
      <c r="Y3">
        <v>2</v>
      </c>
    </row>
    <row r="4" spans="1:31" x14ac:dyDescent="0.25">
      <c r="A4" t="s">
        <v>40</v>
      </c>
      <c r="B4">
        <v>7</v>
      </c>
      <c r="C4">
        <v>2</v>
      </c>
      <c r="D4">
        <v>5</v>
      </c>
      <c r="E4">
        <v>6</v>
      </c>
      <c r="F4">
        <v>4</v>
      </c>
      <c r="G4">
        <v>3</v>
      </c>
      <c r="H4">
        <v>4</v>
      </c>
      <c r="I4">
        <v>4</v>
      </c>
      <c r="J4">
        <v>4</v>
      </c>
      <c r="K4">
        <v>4</v>
      </c>
      <c r="L4">
        <v>5</v>
      </c>
      <c r="M4">
        <v>4</v>
      </c>
      <c r="N4">
        <v>3</v>
      </c>
      <c r="O4">
        <v>4</v>
      </c>
      <c r="P4">
        <v>4</v>
      </c>
      <c r="Q4">
        <v>6</v>
      </c>
      <c r="R4">
        <v>3</v>
      </c>
      <c r="S4">
        <v>3</v>
      </c>
      <c r="T4">
        <v>4</v>
      </c>
      <c r="U4">
        <v>5</v>
      </c>
      <c r="V4">
        <v>75</v>
      </c>
      <c r="W4">
        <v>-3</v>
      </c>
      <c r="X4" t="s">
        <v>64</v>
      </c>
      <c r="Y4">
        <v>0</v>
      </c>
    </row>
    <row r="5" spans="1:31" x14ac:dyDescent="0.25">
      <c r="A5" t="s">
        <v>40</v>
      </c>
      <c r="B5">
        <v>7</v>
      </c>
      <c r="C5">
        <v>2</v>
      </c>
      <c r="D5">
        <v>5</v>
      </c>
      <c r="E5">
        <v>6</v>
      </c>
      <c r="F5">
        <v>4</v>
      </c>
      <c r="G5">
        <v>3</v>
      </c>
      <c r="H5">
        <v>4</v>
      </c>
      <c r="I5">
        <v>4</v>
      </c>
      <c r="J5">
        <v>4</v>
      </c>
      <c r="K5">
        <v>4</v>
      </c>
      <c r="L5">
        <v>5</v>
      </c>
      <c r="M5">
        <v>4</v>
      </c>
      <c r="N5">
        <v>3</v>
      </c>
      <c r="O5">
        <v>4</v>
      </c>
      <c r="P5">
        <v>4</v>
      </c>
      <c r="Q5">
        <v>6</v>
      </c>
      <c r="R5">
        <v>3</v>
      </c>
      <c r="S5">
        <v>3</v>
      </c>
      <c r="T5">
        <v>4</v>
      </c>
      <c r="U5">
        <v>5</v>
      </c>
      <c r="V5">
        <v>75</v>
      </c>
      <c r="W5">
        <v>-3</v>
      </c>
      <c r="X5" t="s">
        <v>67</v>
      </c>
      <c r="Y5">
        <v>4</v>
      </c>
    </row>
    <row r="6" spans="1:31" x14ac:dyDescent="0.25">
      <c r="A6" t="s">
        <v>40</v>
      </c>
      <c r="B6">
        <v>7</v>
      </c>
      <c r="C6">
        <v>2</v>
      </c>
      <c r="D6">
        <v>5</v>
      </c>
      <c r="E6">
        <v>6</v>
      </c>
      <c r="F6">
        <v>4</v>
      </c>
      <c r="G6">
        <v>3</v>
      </c>
      <c r="H6">
        <v>4</v>
      </c>
      <c r="I6">
        <v>4</v>
      </c>
      <c r="J6">
        <v>4</v>
      </c>
      <c r="K6">
        <v>4</v>
      </c>
      <c r="L6">
        <v>5</v>
      </c>
      <c r="M6">
        <v>4</v>
      </c>
      <c r="N6">
        <v>3</v>
      </c>
      <c r="O6">
        <v>4</v>
      </c>
      <c r="P6">
        <v>4</v>
      </c>
      <c r="Q6">
        <v>6</v>
      </c>
      <c r="R6">
        <v>3</v>
      </c>
      <c r="S6">
        <v>3</v>
      </c>
      <c r="T6">
        <v>4</v>
      </c>
      <c r="U6">
        <v>5</v>
      </c>
      <c r="V6">
        <v>75</v>
      </c>
      <c r="W6">
        <v>-3</v>
      </c>
      <c r="X6" t="s">
        <v>88</v>
      </c>
      <c r="Y6">
        <v>1</v>
      </c>
    </row>
    <row r="7" spans="1:31" x14ac:dyDescent="0.25">
      <c r="A7" t="s">
        <v>40</v>
      </c>
      <c r="B7">
        <v>7</v>
      </c>
      <c r="C7">
        <v>2</v>
      </c>
      <c r="D7">
        <v>5</v>
      </c>
      <c r="E7">
        <v>6</v>
      </c>
      <c r="F7">
        <v>4</v>
      </c>
      <c r="G7">
        <v>3</v>
      </c>
      <c r="H7">
        <v>4</v>
      </c>
      <c r="I7">
        <v>4</v>
      </c>
      <c r="J7">
        <v>4</v>
      </c>
      <c r="K7">
        <v>4</v>
      </c>
      <c r="L7">
        <v>5</v>
      </c>
      <c r="M7">
        <v>4</v>
      </c>
      <c r="N7">
        <v>3</v>
      </c>
      <c r="O7">
        <v>4</v>
      </c>
      <c r="P7">
        <v>4</v>
      </c>
      <c r="Q7">
        <v>6</v>
      </c>
      <c r="R7">
        <v>3</v>
      </c>
      <c r="S7">
        <v>3</v>
      </c>
      <c r="T7">
        <v>4</v>
      </c>
      <c r="U7">
        <v>5</v>
      </c>
      <c r="V7">
        <v>75</v>
      </c>
      <c r="W7">
        <v>-3</v>
      </c>
      <c r="X7" t="s">
        <v>69</v>
      </c>
      <c r="Y7">
        <v>0</v>
      </c>
    </row>
    <row r="8" spans="1:31" x14ac:dyDescent="0.25">
      <c r="A8" t="s">
        <v>40</v>
      </c>
      <c r="B8">
        <v>7</v>
      </c>
      <c r="C8">
        <v>2</v>
      </c>
      <c r="D8">
        <v>5</v>
      </c>
      <c r="E8">
        <v>6</v>
      </c>
      <c r="F8">
        <v>4</v>
      </c>
      <c r="G8">
        <v>3</v>
      </c>
      <c r="H8">
        <v>4</v>
      </c>
      <c r="I8">
        <v>4</v>
      </c>
      <c r="J8">
        <v>4</v>
      </c>
      <c r="K8">
        <v>4</v>
      </c>
      <c r="L8">
        <v>5</v>
      </c>
      <c r="M8">
        <v>4</v>
      </c>
      <c r="N8">
        <v>3</v>
      </c>
      <c r="O8">
        <v>4</v>
      </c>
      <c r="P8">
        <v>4</v>
      </c>
      <c r="Q8">
        <v>6</v>
      </c>
      <c r="R8">
        <v>3</v>
      </c>
      <c r="S8">
        <v>3</v>
      </c>
      <c r="T8">
        <v>4</v>
      </c>
      <c r="U8">
        <v>5</v>
      </c>
      <c r="V8">
        <v>75</v>
      </c>
      <c r="W8">
        <v>-3</v>
      </c>
      <c r="X8" t="s">
        <v>89</v>
      </c>
      <c r="Y8">
        <v>0</v>
      </c>
    </row>
    <row r="9" spans="1:31" x14ac:dyDescent="0.25">
      <c r="A9" t="s">
        <v>24</v>
      </c>
      <c r="B9">
        <v>8</v>
      </c>
      <c r="C9">
        <v>1</v>
      </c>
      <c r="D9">
        <v>5</v>
      </c>
      <c r="E9">
        <v>4</v>
      </c>
      <c r="F9">
        <v>5</v>
      </c>
      <c r="G9">
        <v>4</v>
      </c>
      <c r="H9">
        <v>3</v>
      </c>
      <c r="I9">
        <v>4</v>
      </c>
      <c r="J9">
        <v>3</v>
      </c>
      <c r="K9">
        <v>4</v>
      </c>
      <c r="L9">
        <v>5</v>
      </c>
      <c r="M9">
        <v>4</v>
      </c>
      <c r="N9">
        <v>3</v>
      </c>
      <c r="O9">
        <v>5</v>
      </c>
      <c r="P9">
        <v>3</v>
      </c>
      <c r="Q9">
        <v>6</v>
      </c>
      <c r="R9">
        <v>4</v>
      </c>
      <c r="S9">
        <v>4</v>
      </c>
      <c r="T9">
        <v>4</v>
      </c>
      <c r="U9">
        <v>5</v>
      </c>
      <c r="V9">
        <v>75</v>
      </c>
      <c r="W9">
        <v>-4</v>
      </c>
      <c r="X9" t="s">
        <v>66</v>
      </c>
      <c r="Y9">
        <v>8</v>
      </c>
    </row>
    <row r="10" spans="1:31" x14ac:dyDescent="0.25">
      <c r="A10" t="s">
        <v>24</v>
      </c>
      <c r="B10">
        <v>8</v>
      </c>
      <c r="C10">
        <v>1</v>
      </c>
      <c r="D10">
        <v>5</v>
      </c>
      <c r="E10">
        <v>4</v>
      </c>
      <c r="F10">
        <v>5</v>
      </c>
      <c r="G10">
        <v>4</v>
      </c>
      <c r="H10">
        <v>3</v>
      </c>
      <c r="I10">
        <v>4</v>
      </c>
      <c r="J10">
        <v>3</v>
      </c>
      <c r="K10">
        <v>4</v>
      </c>
      <c r="L10">
        <v>5</v>
      </c>
      <c r="M10">
        <v>4</v>
      </c>
      <c r="N10">
        <v>3</v>
      </c>
      <c r="O10">
        <v>5</v>
      </c>
      <c r="P10">
        <v>3</v>
      </c>
      <c r="Q10">
        <v>6</v>
      </c>
      <c r="R10">
        <v>4</v>
      </c>
      <c r="S10">
        <v>4</v>
      </c>
      <c r="T10">
        <v>4</v>
      </c>
      <c r="U10">
        <v>5</v>
      </c>
      <c r="V10">
        <v>75</v>
      </c>
      <c r="W10">
        <v>-4</v>
      </c>
      <c r="X10" t="s">
        <v>65</v>
      </c>
      <c r="Y10">
        <v>3</v>
      </c>
    </row>
    <row r="11" spans="1:31" x14ac:dyDescent="0.25">
      <c r="A11" t="s">
        <v>24</v>
      </c>
      <c r="B11">
        <v>8</v>
      </c>
      <c r="C11">
        <v>1</v>
      </c>
      <c r="D11">
        <v>5</v>
      </c>
      <c r="E11">
        <v>4</v>
      </c>
      <c r="F11">
        <v>5</v>
      </c>
      <c r="G11">
        <v>4</v>
      </c>
      <c r="H11">
        <v>3</v>
      </c>
      <c r="I11">
        <v>4</v>
      </c>
      <c r="J11">
        <v>3</v>
      </c>
      <c r="K11">
        <v>4</v>
      </c>
      <c r="L11">
        <v>5</v>
      </c>
      <c r="M11">
        <v>4</v>
      </c>
      <c r="N11">
        <v>3</v>
      </c>
      <c r="O11">
        <v>5</v>
      </c>
      <c r="P11">
        <v>3</v>
      </c>
      <c r="Q11">
        <v>6</v>
      </c>
      <c r="R11">
        <v>4</v>
      </c>
      <c r="S11">
        <v>4</v>
      </c>
      <c r="T11">
        <v>4</v>
      </c>
      <c r="U11">
        <v>5</v>
      </c>
      <c r="V11">
        <v>75</v>
      </c>
      <c r="W11">
        <v>-4</v>
      </c>
      <c r="X11" t="s">
        <v>64</v>
      </c>
      <c r="Y11">
        <v>0</v>
      </c>
    </row>
    <row r="12" spans="1:31" x14ac:dyDescent="0.25">
      <c r="A12" t="s">
        <v>24</v>
      </c>
      <c r="B12">
        <v>8</v>
      </c>
      <c r="C12">
        <v>1</v>
      </c>
      <c r="D12">
        <v>5</v>
      </c>
      <c r="E12">
        <v>4</v>
      </c>
      <c r="F12">
        <v>5</v>
      </c>
      <c r="G12">
        <v>4</v>
      </c>
      <c r="H12">
        <v>3</v>
      </c>
      <c r="I12">
        <v>4</v>
      </c>
      <c r="J12">
        <v>3</v>
      </c>
      <c r="K12">
        <v>4</v>
      </c>
      <c r="L12">
        <v>5</v>
      </c>
      <c r="M12">
        <v>4</v>
      </c>
      <c r="N12">
        <v>3</v>
      </c>
      <c r="O12">
        <v>5</v>
      </c>
      <c r="P12">
        <v>3</v>
      </c>
      <c r="Q12">
        <v>6</v>
      </c>
      <c r="R12">
        <v>4</v>
      </c>
      <c r="S12">
        <v>4</v>
      </c>
      <c r="T12">
        <v>4</v>
      </c>
      <c r="U12">
        <v>5</v>
      </c>
      <c r="V12">
        <v>75</v>
      </c>
      <c r="W12">
        <v>-4</v>
      </c>
      <c r="X12" t="s">
        <v>67</v>
      </c>
      <c r="Y12">
        <v>7</v>
      </c>
    </row>
    <row r="13" spans="1:31" x14ac:dyDescent="0.25">
      <c r="A13" t="s">
        <v>24</v>
      </c>
      <c r="B13">
        <v>8</v>
      </c>
      <c r="C13">
        <v>1</v>
      </c>
      <c r="D13">
        <v>5</v>
      </c>
      <c r="E13">
        <v>4</v>
      </c>
      <c r="F13">
        <v>5</v>
      </c>
      <c r="G13">
        <v>4</v>
      </c>
      <c r="H13">
        <v>3</v>
      </c>
      <c r="I13">
        <v>4</v>
      </c>
      <c r="J13">
        <v>3</v>
      </c>
      <c r="K13">
        <v>4</v>
      </c>
      <c r="L13">
        <v>5</v>
      </c>
      <c r="M13">
        <v>4</v>
      </c>
      <c r="N13">
        <v>3</v>
      </c>
      <c r="O13">
        <v>5</v>
      </c>
      <c r="P13">
        <v>3</v>
      </c>
      <c r="Q13">
        <v>6</v>
      </c>
      <c r="R13">
        <v>4</v>
      </c>
      <c r="S13">
        <v>4</v>
      </c>
      <c r="T13">
        <v>4</v>
      </c>
      <c r="U13">
        <v>5</v>
      </c>
      <c r="V13">
        <v>75</v>
      </c>
      <c r="W13">
        <v>-4</v>
      </c>
      <c r="X13" t="s">
        <v>88</v>
      </c>
      <c r="Y13">
        <v>0</v>
      </c>
      <c r="AD13" s="2" t="s">
        <v>87</v>
      </c>
      <c r="AE13" t="s">
        <v>101</v>
      </c>
    </row>
    <row r="14" spans="1:31" x14ac:dyDescent="0.25">
      <c r="A14" t="s">
        <v>24</v>
      </c>
      <c r="B14">
        <v>8</v>
      </c>
      <c r="C14">
        <v>1</v>
      </c>
      <c r="D14">
        <v>5</v>
      </c>
      <c r="E14">
        <v>4</v>
      </c>
      <c r="F14">
        <v>5</v>
      </c>
      <c r="G14">
        <v>4</v>
      </c>
      <c r="H14">
        <v>3</v>
      </c>
      <c r="I14">
        <v>4</v>
      </c>
      <c r="J14">
        <v>3</v>
      </c>
      <c r="K14">
        <v>4</v>
      </c>
      <c r="L14">
        <v>5</v>
      </c>
      <c r="M14">
        <v>4</v>
      </c>
      <c r="N14">
        <v>3</v>
      </c>
      <c r="O14">
        <v>5</v>
      </c>
      <c r="P14">
        <v>3</v>
      </c>
      <c r="Q14">
        <v>6</v>
      </c>
      <c r="R14">
        <v>4</v>
      </c>
      <c r="S14">
        <v>4</v>
      </c>
      <c r="T14">
        <v>4</v>
      </c>
      <c r="U14">
        <v>5</v>
      </c>
      <c r="V14">
        <v>75</v>
      </c>
      <c r="W14">
        <v>-4</v>
      </c>
      <c r="X14" t="s">
        <v>69</v>
      </c>
      <c r="Y14">
        <v>0</v>
      </c>
      <c r="AD14" s="3" t="s">
        <v>50</v>
      </c>
      <c r="AE14">
        <v>36</v>
      </c>
    </row>
    <row r="15" spans="1:31" x14ac:dyDescent="0.25">
      <c r="A15" t="s">
        <v>24</v>
      </c>
      <c r="B15">
        <v>8</v>
      </c>
      <c r="C15">
        <v>1</v>
      </c>
      <c r="D15">
        <v>5</v>
      </c>
      <c r="E15">
        <v>4</v>
      </c>
      <c r="F15">
        <v>5</v>
      </c>
      <c r="G15">
        <v>4</v>
      </c>
      <c r="H15">
        <v>3</v>
      </c>
      <c r="I15">
        <v>4</v>
      </c>
      <c r="J15">
        <v>3</v>
      </c>
      <c r="K15">
        <v>4</v>
      </c>
      <c r="L15">
        <v>5</v>
      </c>
      <c r="M15">
        <v>4</v>
      </c>
      <c r="N15">
        <v>3</v>
      </c>
      <c r="O15">
        <v>5</v>
      </c>
      <c r="P15">
        <v>3</v>
      </c>
      <c r="Q15">
        <v>6</v>
      </c>
      <c r="R15">
        <v>4</v>
      </c>
      <c r="S15">
        <v>4</v>
      </c>
      <c r="T15">
        <v>4</v>
      </c>
      <c r="U15">
        <v>5</v>
      </c>
      <c r="V15">
        <v>75</v>
      </c>
      <c r="W15">
        <v>-4</v>
      </c>
      <c r="X15" t="s">
        <v>89</v>
      </c>
      <c r="Y15">
        <v>0</v>
      </c>
      <c r="AD15" s="18" t="s">
        <v>89</v>
      </c>
      <c r="AE15">
        <v>1</v>
      </c>
    </row>
    <row r="16" spans="1:31" x14ac:dyDescent="0.25">
      <c r="A16" t="s">
        <v>47</v>
      </c>
      <c r="B16">
        <v>6</v>
      </c>
      <c r="C16">
        <v>1</v>
      </c>
      <c r="D16">
        <v>5</v>
      </c>
      <c r="E16">
        <v>4</v>
      </c>
      <c r="F16">
        <v>5</v>
      </c>
      <c r="G16">
        <v>4</v>
      </c>
      <c r="H16">
        <v>4</v>
      </c>
      <c r="I16">
        <v>5</v>
      </c>
      <c r="J16">
        <v>3</v>
      </c>
      <c r="K16">
        <v>4</v>
      </c>
      <c r="L16">
        <v>5</v>
      </c>
      <c r="M16">
        <v>7</v>
      </c>
      <c r="N16">
        <v>3</v>
      </c>
      <c r="O16">
        <v>4</v>
      </c>
      <c r="P16">
        <v>4</v>
      </c>
      <c r="Q16">
        <v>4</v>
      </c>
      <c r="R16">
        <v>4</v>
      </c>
      <c r="S16">
        <v>4</v>
      </c>
      <c r="T16">
        <v>4</v>
      </c>
      <c r="U16">
        <v>4</v>
      </c>
      <c r="V16">
        <v>77</v>
      </c>
      <c r="W16">
        <v>0</v>
      </c>
      <c r="X16" t="s">
        <v>66</v>
      </c>
      <c r="Y16">
        <v>12</v>
      </c>
      <c r="AD16" s="18" t="s">
        <v>69</v>
      </c>
      <c r="AE16">
        <v>6</v>
      </c>
    </row>
    <row r="17" spans="1:31" x14ac:dyDescent="0.25">
      <c r="A17" t="s">
        <v>47</v>
      </c>
      <c r="B17">
        <v>6</v>
      </c>
      <c r="C17">
        <v>1</v>
      </c>
      <c r="D17">
        <v>5</v>
      </c>
      <c r="E17">
        <v>4</v>
      </c>
      <c r="F17">
        <v>5</v>
      </c>
      <c r="G17">
        <v>4</v>
      </c>
      <c r="H17">
        <v>4</v>
      </c>
      <c r="I17">
        <v>5</v>
      </c>
      <c r="J17">
        <v>3</v>
      </c>
      <c r="K17">
        <v>4</v>
      </c>
      <c r="L17">
        <v>5</v>
      </c>
      <c r="M17">
        <v>7</v>
      </c>
      <c r="N17">
        <v>3</v>
      </c>
      <c r="O17">
        <v>4</v>
      </c>
      <c r="P17">
        <v>4</v>
      </c>
      <c r="Q17">
        <v>4</v>
      </c>
      <c r="R17">
        <v>4</v>
      </c>
      <c r="S17">
        <v>4</v>
      </c>
      <c r="T17">
        <v>4</v>
      </c>
      <c r="U17">
        <v>4</v>
      </c>
      <c r="V17">
        <v>77</v>
      </c>
      <c r="W17">
        <v>0</v>
      </c>
      <c r="X17" t="s">
        <v>65</v>
      </c>
      <c r="Y17">
        <v>1</v>
      </c>
      <c r="AD17" s="18" t="s">
        <v>88</v>
      </c>
      <c r="AE17">
        <v>7</v>
      </c>
    </row>
    <row r="18" spans="1:31" x14ac:dyDescent="0.25">
      <c r="A18" t="s">
        <v>47</v>
      </c>
      <c r="B18">
        <v>6</v>
      </c>
      <c r="C18">
        <v>1</v>
      </c>
      <c r="D18">
        <v>5</v>
      </c>
      <c r="E18">
        <v>4</v>
      </c>
      <c r="F18">
        <v>5</v>
      </c>
      <c r="G18">
        <v>4</v>
      </c>
      <c r="H18">
        <v>4</v>
      </c>
      <c r="I18">
        <v>5</v>
      </c>
      <c r="J18">
        <v>3</v>
      </c>
      <c r="K18">
        <v>4</v>
      </c>
      <c r="L18">
        <v>5</v>
      </c>
      <c r="M18">
        <v>7</v>
      </c>
      <c r="N18">
        <v>3</v>
      </c>
      <c r="O18">
        <v>4</v>
      </c>
      <c r="P18">
        <v>4</v>
      </c>
      <c r="Q18">
        <v>4</v>
      </c>
      <c r="R18">
        <v>4</v>
      </c>
      <c r="S18">
        <v>4</v>
      </c>
      <c r="T18">
        <v>4</v>
      </c>
      <c r="U18">
        <v>4</v>
      </c>
      <c r="V18">
        <v>77</v>
      </c>
      <c r="W18">
        <v>0</v>
      </c>
      <c r="X18" t="s">
        <v>64</v>
      </c>
      <c r="Y18">
        <v>0</v>
      </c>
      <c r="AD18" s="18" t="s">
        <v>67</v>
      </c>
      <c r="AE18">
        <v>12</v>
      </c>
    </row>
    <row r="19" spans="1:31" x14ac:dyDescent="0.25">
      <c r="A19" t="s">
        <v>47</v>
      </c>
      <c r="B19">
        <v>6</v>
      </c>
      <c r="C19">
        <v>1</v>
      </c>
      <c r="D19">
        <v>5</v>
      </c>
      <c r="E19">
        <v>4</v>
      </c>
      <c r="F19">
        <v>5</v>
      </c>
      <c r="G19">
        <v>4</v>
      </c>
      <c r="H19">
        <v>4</v>
      </c>
      <c r="I19">
        <v>5</v>
      </c>
      <c r="J19">
        <v>3</v>
      </c>
      <c r="K19">
        <v>4</v>
      </c>
      <c r="L19">
        <v>5</v>
      </c>
      <c r="M19">
        <v>7</v>
      </c>
      <c r="N19">
        <v>3</v>
      </c>
      <c r="O19">
        <v>4</v>
      </c>
      <c r="P19">
        <v>4</v>
      </c>
      <c r="Q19">
        <v>4</v>
      </c>
      <c r="R19">
        <v>4</v>
      </c>
      <c r="S19">
        <v>4</v>
      </c>
      <c r="T19">
        <v>4</v>
      </c>
      <c r="U19">
        <v>4</v>
      </c>
      <c r="V19">
        <v>77</v>
      </c>
      <c r="W19">
        <v>0</v>
      </c>
      <c r="X19" t="s">
        <v>67</v>
      </c>
      <c r="Y19">
        <v>4</v>
      </c>
      <c r="AD19" s="18" t="s">
        <v>66</v>
      </c>
      <c r="AE19">
        <v>9</v>
      </c>
    </row>
    <row r="20" spans="1:31" x14ac:dyDescent="0.25">
      <c r="A20" t="s">
        <v>47</v>
      </c>
      <c r="B20">
        <v>6</v>
      </c>
      <c r="C20">
        <v>1</v>
      </c>
      <c r="D20">
        <v>5</v>
      </c>
      <c r="E20">
        <v>4</v>
      </c>
      <c r="F20">
        <v>5</v>
      </c>
      <c r="G20">
        <v>4</v>
      </c>
      <c r="H20">
        <v>4</v>
      </c>
      <c r="I20">
        <v>5</v>
      </c>
      <c r="J20">
        <v>3</v>
      </c>
      <c r="K20">
        <v>4</v>
      </c>
      <c r="L20">
        <v>5</v>
      </c>
      <c r="M20">
        <v>7</v>
      </c>
      <c r="N20">
        <v>3</v>
      </c>
      <c r="O20">
        <v>4</v>
      </c>
      <c r="P20">
        <v>4</v>
      </c>
      <c r="Q20">
        <v>4</v>
      </c>
      <c r="R20">
        <v>4</v>
      </c>
      <c r="S20">
        <v>4</v>
      </c>
      <c r="T20">
        <v>4</v>
      </c>
      <c r="U20">
        <v>4</v>
      </c>
      <c r="V20">
        <v>77</v>
      </c>
      <c r="W20">
        <v>0</v>
      </c>
      <c r="X20" t="s">
        <v>88</v>
      </c>
      <c r="Y20">
        <v>0</v>
      </c>
      <c r="AD20" s="18" t="s">
        <v>65</v>
      </c>
      <c r="AE20">
        <v>1</v>
      </c>
    </row>
    <row r="21" spans="1:31" x14ac:dyDescent="0.25">
      <c r="A21" t="s">
        <v>47</v>
      </c>
      <c r="B21">
        <v>6</v>
      </c>
      <c r="C21">
        <v>1</v>
      </c>
      <c r="D21">
        <v>5</v>
      </c>
      <c r="E21">
        <v>4</v>
      </c>
      <c r="F21">
        <v>5</v>
      </c>
      <c r="G21">
        <v>4</v>
      </c>
      <c r="H21">
        <v>4</v>
      </c>
      <c r="I21">
        <v>5</v>
      </c>
      <c r="J21">
        <v>3</v>
      </c>
      <c r="K21">
        <v>4</v>
      </c>
      <c r="L21">
        <v>5</v>
      </c>
      <c r="M21">
        <v>7</v>
      </c>
      <c r="N21">
        <v>3</v>
      </c>
      <c r="O21">
        <v>4</v>
      </c>
      <c r="P21">
        <v>4</v>
      </c>
      <c r="Q21">
        <v>4</v>
      </c>
      <c r="R21">
        <v>4</v>
      </c>
      <c r="S21">
        <v>4</v>
      </c>
      <c r="T21">
        <v>4</v>
      </c>
      <c r="U21">
        <v>4</v>
      </c>
      <c r="V21">
        <v>77</v>
      </c>
      <c r="W21">
        <v>0</v>
      </c>
      <c r="X21" t="s">
        <v>69</v>
      </c>
      <c r="Y21">
        <v>1</v>
      </c>
      <c r="AD21" s="18" t="s">
        <v>64</v>
      </c>
      <c r="AE21">
        <v>0</v>
      </c>
    </row>
    <row r="22" spans="1:31" x14ac:dyDescent="0.25">
      <c r="A22" t="s">
        <v>47</v>
      </c>
      <c r="B22">
        <v>6</v>
      </c>
      <c r="C22">
        <v>1</v>
      </c>
      <c r="D22">
        <v>5</v>
      </c>
      <c r="E22">
        <v>4</v>
      </c>
      <c r="F22">
        <v>5</v>
      </c>
      <c r="G22">
        <v>4</v>
      </c>
      <c r="H22">
        <v>4</v>
      </c>
      <c r="I22">
        <v>5</v>
      </c>
      <c r="J22">
        <v>3</v>
      </c>
      <c r="K22">
        <v>4</v>
      </c>
      <c r="L22">
        <v>5</v>
      </c>
      <c r="M22">
        <v>7</v>
      </c>
      <c r="N22">
        <v>3</v>
      </c>
      <c r="O22">
        <v>4</v>
      </c>
      <c r="P22">
        <v>4</v>
      </c>
      <c r="Q22">
        <v>4</v>
      </c>
      <c r="R22">
        <v>4</v>
      </c>
      <c r="S22">
        <v>4</v>
      </c>
      <c r="T22">
        <v>4</v>
      </c>
      <c r="U22">
        <v>4</v>
      </c>
      <c r="V22">
        <v>77</v>
      </c>
      <c r="W22">
        <v>0</v>
      </c>
      <c r="X22" t="s">
        <v>89</v>
      </c>
      <c r="Y22">
        <v>0</v>
      </c>
      <c r="AD22" s="3" t="s">
        <v>57</v>
      </c>
      <c r="AE22">
        <v>36</v>
      </c>
    </row>
    <row r="23" spans="1:31" x14ac:dyDescent="0.25">
      <c r="A23" t="s">
        <v>40</v>
      </c>
      <c r="B23">
        <v>7</v>
      </c>
      <c r="C23">
        <v>1</v>
      </c>
      <c r="D23">
        <v>5</v>
      </c>
      <c r="E23">
        <v>4</v>
      </c>
      <c r="F23">
        <v>4</v>
      </c>
      <c r="G23">
        <v>3</v>
      </c>
      <c r="H23">
        <v>4</v>
      </c>
      <c r="I23">
        <v>7</v>
      </c>
      <c r="J23">
        <v>4</v>
      </c>
      <c r="K23">
        <v>3</v>
      </c>
      <c r="L23">
        <v>4</v>
      </c>
      <c r="M23">
        <v>6</v>
      </c>
      <c r="N23">
        <v>3</v>
      </c>
      <c r="O23">
        <v>4</v>
      </c>
      <c r="P23">
        <v>5</v>
      </c>
      <c r="Q23">
        <v>4</v>
      </c>
      <c r="R23">
        <v>4</v>
      </c>
      <c r="S23">
        <v>3</v>
      </c>
      <c r="T23">
        <v>5</v>
      </c>
      <c r="U23">
        <v>5</v>
      </c>
      <c r="V23">
        <v>77</v>
      </c>
      <c r="W23">
        <v>-1</v>
      </c>
      <c r="X23" t="s">
        <v>66</v>
      </c>
      <c r="Y23">
        <v>10</v>
      </c>
    </row>
    <row r="24" spans="1:31" x14ac:dyDescent="0.25">
      <c r="A24" t="s">
        <v>40</v>
      </c>
      <c r="B24">
        <v>7</v>
      </c>
      <c r="C24">
        <v>1</v>
      </c>
      <c r="D24">
        <v>5</v>
      </c>
      <c r="E24">
        <v>4</v>
      </c>
      <c r="F24">
        <v>4</v>
      </c>
      <c r="G24">
        <v>3</v>
      </c>
      <c r="H24">
        <v>4</v>
      </c>
      <c r="I24">
        <v>7</v>
      </c>
      <c r="J24">
        <v>4</v>
      </c>
      <c r="K24">
        <v>3</v>
      </c>
      <c r="L24">
        <v>4</v>
      </c>
      <c r="M24">
        <v>6</v>
      </c>
      <c r="N24">
        <v>3</v>
      </c>
      <c r="O24">
        <v>4</v>
      </c>
      <c r="P24">
        <v>5</v>
      </c>
      <c r="Q24">
        <v>4</v>
      </c>
      <c r="R24">
        <v>4</v>
      </c>
      <c r="S24">
        <v>3</v>
      </c>
      <c r="T24">
        <v>5</v>
      </c>
      <c r="U24">
        <v>5</v>
      </c>
      <c r="V24">
        <v>77</v>
      </c>
      <c r="W24">
        <v>-1</v>
      </c>
      <c r="X24" t="s">
        <v>65</v>
      </c>
      <c r="Y24">
        <v>2</v>
      </c>
    </row>
    <row r="25" spans="1:31" x14ac:dyDescent="0.25">
      <c r="A25" t="s">
        <v>40</v>
      </c>
      <c r="B25">
        <v>7</v>
      </c>
      <c r="C25">
        <v>1</v>
      </c>
      <c r="D25">
        <v>5</v>
      </c>
      <c r="E25">
        <v>4</v>
      </c>
      <c r="F25">
        <v>4</v>
      </c>
      <c r="G25">
        <v>3</v>
      </c>
      <c r="H25">
        <v>4</v>
      </c>
      <c r="I25">
        <v>7</v>
      </c>
      <c r="J25">
        <v>4</v>
      </c>
      <c r="K25">
        <v>3</v>
      </c>
      <c r="L25">
        <v>4</v>
      </c>
      <c r="M25">
        <v>6</v>
      </c>
      <c r="N25">
        <v>3</v>
      </c>
      <c r="O25">
        <v>4</v>
      </c>
      <c r="P25">
        <v>5</v>
      </c>
      <c r="Q25">
        <v>4</v>
      </c>
      <c r="R25">
        <v>4</v>
      </c>
      <c r="S25">
        <v>3</v>
      </c>
      <c r="T25">
        <v>5</v>
      </c>
      <c r="U25">
        <v>5</v>
      </c>
      <c r="V25">
        <v>77</v>
      </c>
      <c r="W25">
        <v>-1</v>
      </c>
      <c r="X25" t="s">
        <v>64</v>
      </c>
      <c r="Y25">
        <v>0</v>
      </c>
      <c r="AC25" s="2" t="s">
        <v>87</v>
      </c>
      <c r="AD25" t="s">
        <v>103</v>
      </c>
    </row>
    <row r="26" spans="1:31" x14ac:dyDescent="0.25">
      <c r="A26" t="s">
        <v>40</v>
      </c>
      <c r="B26">
        <v>7</v>
      </c>
      <c r="C26">
        <v>1</v>
      </c>
      <c r="D26">
        <v>5</v>
      </c>
      <c r="E26">
        <v>4</v>
      </c>
      <c r="F26">
        <v>4</v>
      </c>
      <c r="G26">
        <v>3</v>
      </c>
      <c r="H26">
        <v>4</v>
      </c>
      <c r="I26">
        <v>7</v>
      </c>
      <c r="J26">
        <v>4</v>
      </c>
      <c r="K26">
        <v>3</v>
      </c>
      <c r="L26">
        <v>4</v>
      </c>
      <c r="M26">
        <v>6</v>
      </c>
      <c r="N26">
        <v>3</v>
      </c>
      <c r="O26">
        <v>4</v>
      </c>
      <c r="P26">
        <v>5</v>
      </c>
      <c r="Q26">
        <v>4</v>
      </c>
      <c r="R26">
        <v>4</v>
      </c>
      <c r="S26">
        <v>3</v>
      </c>
      <c r="T26">
        <v>5</v>
      </c>
      <c r="U26">
        <v>5</v>
      </c>
      <c r="V26">
        <v>77</v>
      </c>
      <c r="W26">
        <v>-1</v>
      </c>
      <c r="X26" t="s">
        <v>67</v>
      </c>
      <c r="Y26">
        <v>4</v>
      </c>
      <c r="AC26" s="3" t="s">
        <v>22</v>
      </c>
      <c r="AD26">
        <v>-1</v>
      </c>
    </row>
    <row r="27" spans="1:31" x14ac:dyDescent="0.25">
      <c r="A27" t="s">
        <v>40</v>
      </c>
      <c r="B27">
        <v>7</v>
      </c>
      <c r="C27">
        <v>1</v>
      </c>
      <c r="D27">
        <v>5</v>
      </c>
      <c r="E27">
        <v>4</v>
      </c>
      <c r="F27">
        <v>4</v>
      </c>
      <c r="G27">
        <v>3</v>
      </c>
      <c r="H27">
        <v>4</v>
      </c>
      <c r="I27">
        <v>7</v>
      </c>
      <c r="J27">
        <v>4</v>
      </c>
      <c r="K27">
        <v>3</v>
      </c>
      <c r="L27">
        <v>4</v>
      </c>
      <c r="M27">
        <v>6</v>
      </c>
      <c r="N27">
        <v>3</v>
      </c>
      <c r="O27">
        <v>4</v>
      </c>
      <c r="P27">
        <v>5</v>
      </c>
      <c r="Q27">
        <v>4</v>
      </c>
      <c r="R27">
        <v>4</v>
      </c>
      <c r="S27">
        <v>3</v>
      </c>
      <c r="T27">
        <v>5</v>
      </c>
      <c r="U27">
        <v>5</v>
      </c>
      <c r="V27">
        <v>77</v>
      </c>
      <c r="W27">
        <v>-1</v>
      </c>
      <c r="X27" t="s">
        <v>88</v>
      </c>
      <c r="Y27">
        <v>2</v>
      </c>
      <c r="AC27" s="3" t="s">
        <v>25</v>
      </c>
      <c r="AD27">
        <v>0</v>
      </c>
    </row>
    <row r="28" spans="1:31" x14ac:dyDescent="0.25">
      <c r="A28" t="s">
        <v>40</v>
      </c>
      <c r="B28">
        <v>7</v>
      </c>
      <c r="C28">
        <v>1</v>
      </c>
      <c r="D28">
        <v>5</v>
      </c>
      <c r="E28">
        <v>4</v>
      </c>
      <c r="F28">
        <v>4</v>
      </c>
      <c r="G28">
        <v>3</v>
      </c>
      <c r="H28">
        <v>4</v>
      </c>
      <c r="I28">
        <v>7</v>
      </c>
      <c r="J28">
        <v>4</v>
      </c>
      <c r="K28">
        <v>3</v>
      </c>
      <c r="L28">
        <v>4</v>
      </c>
      <c r="M28">
        <v>6</v>
      </c>
      <c r="N28">
        <v>3</v>
      </c>
      <c r="O28">
        <v>4</v>
      </c>
      <c r="P28">
        <v>5</v>
      </c>
      <c r="Q28">
        <v>4</v>
      </c>
      <c r="R28">
        <v>4</v>
      </c>
      <c r="S28">
        <v>3</v>
      </c>
      <c r="T28">
        <v>5</v>
      </c>
      <c r="U28">
        <v>5</v>
      </c>
      <c r="V28">
        <v>77</v>
      </c>
      <c r="W28">
        <v>-1</v>
      </c>
      <c r="X28" t="s">
        <v>69</v>
      </c>
      <c r="Y28">
        <v>0</v>
      </c>
      <c r="AC28" s="3" t="s">
        <v>43</v>
      </c>
      <c r="AD28">
        <v>4</v>
      </c>
    </row>
    <row r="29" spans="1:31" x14ac:dyDescent="0.25">
      <c r="A29" t="s">
        <v>40</v>
      </c>
      <c r="B29">
        <v>7</v>
      </c>
      <c r="C29">
        <v>1</v>
      </c>
      <c r="D29">
        <v>5</v>
      </c>
      <c r="E29">
        <v>4</v>
      </c>
      <c r="F29">
        <v>4</v>
      </c>
      <c r="G29">
        <v>3</v>
      </c>
      <c r="H29">
        <v>4</v>
      </c>
      <c r="I29">
        <v>7</v>
      </c>
      <c r="J29">
        <v>4</v>
      </c>
      <c r="K29">
        <v>3</v>
      </c>
      <c r="L29">
        <v>4</v>
      </c>
      <c r="M29">
        <v>6</v>
      </c>
      <c r="N29">
        <v>3</v>
      </c>
      <c r="O29">
        <v>4</v>
      </c>
      <c r="P29">
        <v>5</v>
      </c>
      <c r="Q29">
        <v>4</v>
      </c>
      <c r="R29">
        <v>4</v>
      </c>
      <c r="S29">
        <v>3</v>
      </c>
      <c r="T29">
        <v>5</v>
      </c>
      <c r="U29">
        <v>5</v>
      </c>
      <c r="V29">
        <v>77</v>
      </c>
      <c r="W29">
        <v>-1</v>
      </c>
      <c r="X29" t="s">
        <v>89</v>
      </c>
      <c r="Y29">
        <v>0</v>
      </c>
      <c r="AC29" s="3" t="s">
        <v>46</v>
      </c>
      <c r="AD29">
        <v>8</v>
      </c>
    </row>
    <row r="30" spans="1:31" x14ac:dyDescent="0.25">
      <c r="A30" t="s">
        <v>32</v>
      </c>
      <c r="B30">
        <v>6</v>
      </c>
      <c r="C30">
        <v>1</v>
      </c>
      <c r="D30">
        <v>6</v>
      </c>
      <c r="E30">
        <v>4</v>
      </c>
      <c r="F30">
        <v>5</v>
      </c>
      <c r="G30">
        <v>3</v>
      </c>
      <c r="H30">
        <v>4</v>
      </c>
      <c r="I30">
        <v>5</v>
      </c>
      <c r="J30">
        <v>4</v>
      </c>
      <c r="K30">
        <v>4</v>
      </c>
      <c r="L30">
        <v>4</v>
      </c>
      <c r="M30">
        <v>5</v>
      </c>
      <c r="N30">
        <v>6</v>
      </c>
      <c r="O30">
        <v>3</v>
      </c>
      <c r="P30">
        <v>5</v>
      </c>
      <c r="Q30">
        <v>4</v>
      </c>
      <c r="R30">
        <v>5</v>
      </c>
      <c r="S30">
        <v>4</v>
      </c>
      <c r="T30">
        <v>3</v>
      </c>
      <c r="U30">
        <v>4</v>
      </c>
      <c r="V30">
        <v>78</v>
      </c>
      <c r="W30">
        <v>1</v>
      </c>
      <c r="X30" t="s">
        <v>66</v>
      </c>
      <c r="Y30">
        <v>7</v>
      </c>
      <c r="AC30" s="3" t="s">
        <v>29</v>
      </c>
      <c r="AD30">
        <v>-1</v>
      </c>
    </row>
    <row r="31" spans="1:31" x14ac:dyDescent="0.25">
      <c r="A31" t="s">
        <v>32</v>
      </c>
      <c r="B31">
        <v>6</v>
      </c>
      <c r="C31">
        <v>1</v>
      </c>
      <c r="D31">
        <v>6</v>
      </c>
      <c r="E31">
        <v>4</v>
      </c>
      <c r="F31">
        <v>5</v>
      </c>
      <c r="G31">
        <v>3</v>
      </c>
      <c r="H31">
        <v>4</v>
      </c>
      <c r="I31">
        <v>5</v>
      </c>
      <c r="J31">
        <v>4</v>
      </c>
      <c r="K31">
        <v>4</v>
      </c>
      <c r="L31">
        <v>4</v>
      </c>
      <c r="M31">
        <v>5</v>
      </c>
      <c r="N31">
        <v>6</v>
      </c>
      <c r="O31">
        <v>3</v>
      </c>
      <c r="P31">
        <v>5</v>
      </c>
      <c r="Q31">
        <v>4</v>
      </c>
      <c r="R31">
        <v>5</v>
      </c>
      <c r="S31">
        <v>4</v>
      </c>
      <c r="T31">
        <v>3</v>
      </c>
      <c r="U31">
        <v>4</v>
      </c>
      <c r="V31">
        <v>78</v>
      </c>
      <c r="W31">
        <v>1</v>
      </c>
      <c r="X31" t="s">
        <v>65</v>
      </c>
      <c r="Y31">
        <v>3</v>
      </c>
      <c r="AC31" s="3" t="s">
        <v>27</v>
      </c>
      <c r="AD31">
        <v>-1</v>
      </c>
    </row>
    <row r="32" spans="1:31" x14ac:dyDescent="0.25">
      <c r="A32" t="s">
        <v>32</v>
      </c>
      <c r="B32">
        <v>6</v>
      </c>
      <c r="C32">
        <v>1</v>
      </c>
      <c r="D32">
        <v>6</v>
      </c>
      <c r="E32">
        <v>4</v>
      </c>
      <c r="F32">
        <v>5</v>
      </c>
      <c r="G32">
        <v>3</v>
      </c>
      <c r="H32">
        <v>4</v>
      </c>
      <c r="I32">
        <v>5</v>
      </c>
      <c r="J32">
        <v>4</v>
      </c>
      <c r="K32">
        <v>4</v>
      </c>
      <c r="L32">
        <v>4</v>
      </c>
      <c r="M32">
        <v>5</v>
      </c>
      <c r="N32">
        <v>6</v>
      </c>
      <c r="O32">
        <v>3</v>
      </c>
      <c r="P32">
        <v>5</v>
      </c>
      <c r="Q32">
        <v>4</v>
      </c>
      <c r="R32">
        <v>5</v>
      </c>
      <c r="S32">
        <v>4</v>
      </c>
      <c r="T32">
        <v>3</v>
      </c>
      <c r="U32">
        <v>4</v>
      </c>
      <c r="V32">
        <v>78</v>
      </c>
      <c r="W32">
        <v>1</v>
      </c>
      <c r="X32" t="s">
        <v>64</v>
      </c>
      <c r="Y32">
        <v>0</v>
      </c>
      <c r="AC32" s="3" t="s">
        <v>32</v>
      </c>
      <c r="AD32">
        <v>1.5</v>
      </c>
    </row>
    <row r="33" spans="1:30" x14ac:dyDescent="0.25">
      <c r="A33" t="s">
        <v>32</v>
      </c>
      <c r="B33">
        <v>6</v>
      </c>
      <c r="C33">
        <v>1</v>
      </c>
      <c r="D33">
        <v>6</v>
      </c>
      <c r="E33">
        <v>4</v>
      </c>
      <c r="F33">
        <v>5</v>
      </c>
      <c r="G33">
        <v>3</v>
      </c>
      <c r="H33">
        <v>4</v>
      </c>
      <c r="I33">
        <v>5</v>
      </c>
      <c r="J33">
        <v>4</v>
      </c>
      <c r="K33">
        <v>4</v>
      </c>
      <c r="L33">
        <v>4</v>
      </c>
      <c r="M33">
        <v>5</v>
      </c>
      <c r="N33">
        <v>6</v>
      </c>
      <c r="O33">
        <v>3</v>
      </c>
      <c r="P33">
        <v>5</v>
      </c>
      <c r="Q33">
        <v>4</v>
      </c>
      <c r="R33">
        <v>5</v>
      </c>
      <c r="S33">
        <v>4</v>
      </c>
      <c r="T33">
        <v>3</v>
      </c>
      <c r="U33">
        <v>4</v>
      </c>
      <c r="V33">
        <v>78</v>
      </c>
      <c r="W33">
        <v>1</v>
      </c>
      <c r="X33" t="s">
        <v>67</v>
      </c>
      <c r="Y33">
        <v>7</v>
      </c>
      <c r="AC33" s="3" t="s">
        <v>53</v>
      </c>
      <c r="AD33">
        <v>-2</v>
      </c>
    </row>
    <row r="34" spans="1:30" x14ac:dyDescent="0.25">
      <c r="A34" t="s">
        <v>32</v>
      </c>
      <c r="B34">
        <v>6</v>
      </c>
      <c r="C34">
        <v>1</v>
      </c>
      <c r="D34">
        <v>6</v>
      </c>
      <c r="E34">
        <v>4</v>
      </c>
      <c r="F34">
        <v>5</v>
      </c>
      <c r="G34">
        <v>3</v>
      </c>
      <c r="H34">
        <v>4</v>
      </c>
      <c r="I34">
        <v>5</v>
      </c>
      <c r="J34">
        <v>4</v>
      </c>
      <c r="K34">
        <v>4</v>
      </c>
      <c r="L34">
        <v>4</v>
      </c>
      <c r="M34">
        <v>5</v>
      </c>
      <c r="N34">
        <v>6</v>
      </c>
      <c r="O34">
        <v>3</v>
      </c>
      <c r="P34">
        <v>5</v>
      </c>
      <c r="Q34">
        <v>4</v>
      </c>
      <c r="R34">
        <v>5</v>
      </c>
      <c r="S34">
        <v>4</v>
      </c>
      <c r="T34">
        <v>3</v>
      </c>
      <c r="U34">
        <v>4</v>
      </c>
      <c r="V34">
        <v>78</v>
      </c>
      <c r="W34">
        <v>1</v>
      </c>
      <c r="X34" t="s">
        <v>88</v>
      </c>
      <c r="Y34">
        <v>0</v>
      </c>
      <c r="AC34" s="3" t="s">
        <v>34</v>
      </c>
      <c r="AD34">
        <v>7.5</v>
      </c>
    </row>
    <row r="35" spans="1:30" x14ac:dyDescent="0.25">
      <c r="A35" t="s">
        <v>32</v>
      </c>
      <c r="B35">
        <v>6</v>
      </c>
      <c r="C35">
        <v>1</v>
      </c>
      <c r="D35">
        <v>6</v>
      </c>
      <c r="E35">
        <v>4</v>
      </c>
      <c r="F35">
        <v>5</v>
      </c>
      <c r="G35">
        <v>3</v>
      </c>
      <c r="H35">
        <v>4</v>
      </c>
      <c r="I35">
        <v>5</v>
      </c>
      <c r="J35">
        <v>4</v>
      </c>
      <c r="K35">
        <v>4</v>
      </c>
      <c r="L35">
        <v>4</v>
      </c>
      <c r="M35">
        <v>5</v>
      </c>
      <c r="N35">
        <v>6</v>
      </c>
      <c r="O35">
        <v>3</v>
      </c>
      <c r="P35">
        <v>5</v>
      </c>
      <c r="Q35">
        <v>4</v>
      </c>
      <c r="R35">
        <v>5</v>
      </c>
      <c r="S35">
        <v>4</v>
      </c>
      <c r="T35">
        <v>3</v>
      </c>
      <c r="U35">
        <v>4</v>
      </c>
      <c r="V35">
        <v>78</v>
      </c>
      <c r="W35">
        <v>1</v>
      </c>
      <c r="X35" t="s">
        <v>69</v>
      </c>
      <c r="Y35">
        <v>1</v>
      </c>
      <c r="AC35" s="3" t="s">
        <v>39</v>
      </c>
      <c r="AD35">
        <v>1.5</v>
      </c>
    </row>
    <row r="36" spans="1:30" x14ac:dyDescent="0.25">
      <c r="A36" t="s">
        <v>32</v>
      </c>
      <c r="B36">
        <v>6</v>
      </c>
      <c r="C36">
        <v>1</v>
      </c>
      <c r="D36">
        <v>6</v>
      </c>
      <c r="E36">
        <v>4</v>
      </c>
      <c r="F36">
        <v>5</v>
      </c>
      <c r="G36">
        <v>3</v>
      </c>
      <c r="H36">
        <v>4</v>
      </c>
      <c r="I36">
        <v>5</v>
      </c>
      <c r="J36">
        <v>4</v>
      </c>
      <c r="K36">
        <v>4</v>
      </c>
      <c r="L36">
        <v>4</v>
      </c>
      <c r="M36">
        <v>5</v>
      </c>
      <c r="N36">
        <v>6</v>
      </c>
      <c r="O36">
        <v>3</v>
      </c>
      <c r="P36">
        <v>5</v>
      </c>
      <c r="Q36">
        <v>4</v>
      </c>
      <c r="R36">
        <v>5</v>
      </c>
      <c r="S36">
        <v>4</v>
      </c>
      <c r="T36">
        <v>3</v>
      </c>
      <c r="U36">
        <v>4</v>
      </c>
      <c r="V36">
        <v>78</v>
      </c>
      <c r="W36">
        <v>1</v>
      </c>
      <c r="X36" t="s">
        <v>89</v>
      </c>
      <c r="Y36">
        <v>0</v>
      </c>
      <c r="AC36" s="3" t="s">
        <v>33</v>
      </c>
      <c r="AD36">
        <v>3</v>
      </c>
    </row>
    <row r="37" spans="1:30" x14ac:dyDescent="0.25">
      <c r="A37" t="s">
        <v>32</v>
      </c>
      <c r="B37">
        <v>6</v>
      </c>
      <c r="C37">
        <v>2</v>
      </c>
      <c r="D37">
        <v>5</v>
      </c>
      <c r="E37">
        <v>5</v>
      </c>
      <c r="F37">
        <v>6</v>
      </c>
      <c r="G37">
        <v>4</v>
      </c>
      <c r="H37">
        <v>4</v>
      </c>
      <c r="I37">
        <v>4</v>
      </c>
      <c r="J37">
        <v>4</v>
      </c>
      <c r="K37">
        <v>4</v>
      </c>
      <c r="L37">
        <v>6</v>
      </c>
      <c r="M37">
        <v>4</v>
      </c>
      <c r="N37">
        <v>3</v>
      </c>
      <c r="O37">
        <v>4</v>
      </c>
      <c r="P37">
        <v>4</v>
      </c>
      <c r="Q37">
        <v>4</v>
      </c>
      <c r="R37">
        <v>5</v>
      </c>
      <c r="S37">
        <v>4</v>
      </c>
      <c r="T37">
        <v>5</v>
      </c>
      <c r="U37">
        <v>4</v>
      </c>
      <c r="V37">
        <v>79</v>
      </c>
      <c r="W37">
        <v>2</v>
      </c>
      <c r="X37" t="s">
        <v>66</v>
      </c>
      <c r="Y37">
        <v>8</v>
      </c>
      <c r="AC37" s="3" t="s">
        <v>36</v>
      </c>
      <c r="AD37">
        <v>2</v>
      </c>
    </row>
    <row r="38" spans="1:30" x14ac:dyDescent="0.25">
      <c r="A38" t="s">
        <v>32</v>
      </c>
      <c r="B38">
        <v>6</v>
      </c>
      <c r="C38">
        <v>2</v>
      </c>
      <c r="D38">
        <v>5</v>
      </c>
      <c r="E38">
        <v>5</v>
      </c>
      <c r="F38">
        <v>6</v>
      </c>
      <c r="G38">
        <v>4</v>
      </c>
      <c r="H38">
        <v>4</v>
      </c>
      <c r="I38">
        <v>4</v>
      </c>
      <c r="J38">
        <v>4</v>
      </c>
      <c r="K38">
        <v>4</v>
      </c>
      <c r="L38">
        <v>6</v>
      </c>
      <c r="M38">
        <v>4</v>
      </c>
      <c r="N38">
        <v>3</v>
      </c>
      <c r="O38">
        <v>4</v>
      </c>
      <c r="P38">
        <v>4</v>
      </c>
      <c r="Q38">
        <v>4</v>
      </c>
      <c r="R38">
        <v>5</v>
      </c>
      <c r="S38">
        <v>4</v>
      </c>
      <c r="T38">
        <v>5</v>
      </c>
      <c r="U38">
        <v>4</v>
      </c>
      <c r="V38">
        <v>79</v>
      </c>
      <c r="W38">
        <v>2</v>
      </c>
      <c r="X38" t="s">
        <v>65</v>
      </c>
      <c r="Y38">
        <v>2</v>
      </c>
      <c r="AC38" s="3" t="s">
        <v>50</v>
      </c>
      <c r="AD38">
        <v>-1.5</v>
      </c>
    </row>
    <row r="39" spans="1:30" x14ac:dyDescent="0.25">
      <c r="A39" t="s">
        <v>32</v>
      </c>
      <c r="B39">
        <v>6</v>
      </c>
      <c r="C39">
        <v>2</v>
      </c>
      <c r="D39">
        <v>5</v>
      </c>
      <c r="E39">
        <v>5</v>
      </c>
      <c r="F39">
        <v>6</v>
      </c>
      <c r="G39">
        <v>4</v>
      </c>
      <c r="H39">
        <v>4</v>
      </c>
      <c r="I39">
        <v>4</v>
      </c>
      <c r="J39">
        <v>4</v>
      </c>
      <c r="K39">
        <v>4</v>
      </c>
      <c r="L39">
        <v>6</v>
      </c>
      <c r="M39">
        <v>4</v>
      </c>
      <c r="N39">
        <v>3</v>
      </c>
      <c r="O39">
        <v>4</v>
      </c>
      <c r="P39">
        <v>4</v>
      </c>
      <c r="Q39">
        <v>4</v>
      </c>
      <c r="R39">
        <v>5</v>
      </c>
      <c r="S39">
        <v>4</v>
      </c>
      <c r="T39">
        <v>5</v>
      </c>
      <c r="U39">
        <v>4</v>
      </c>
      <c r="V39">
        <v>79</v>
      </c>
      <c r="W39">
        <v>2</v>
      </c>
      <c r="X39" t="s">
        <v>64</v>
      </c>
      <c r="Y39">
        <v>0</v>
      </c>
      <c r="AC39" s="3" t="s">
        <v>35</v>
      </c>
      <c r="AD39">
        <v>2</v>
      </c>
    </row>
    <row r="40" spans="1:30" x14ac:dyDescent="0.25">
      <c r="A40" t="s">
        <v>32</v>
      </c>
      <c r="B40">
        <v>6</v>
      </c>
      <c r="C40">
        <v>2</v>
      </c>
      <c r="D40">
        <v>5</v>
      </c>
      <c r="E40">
        <v>5</v>
      </c>
      <c r="F40">
        <v>6</v>
      </c>
      <c r="G40">
        <v>4</v>
      </c>
      <c r="H40">
        <v>4</v>
      </c>
      <c r="I40">
        <v>4</v>
      </c>
      <c r="J40">
        <v>4</v>
      </c>
      <c r="K40">
        <v>4</v>
      </c>
      <c r="L40">
        <v>6</v>
      </c>
      <c r="M40">
        <v>4</v>
      </c>
      <c r="N40">
        <v>3</v>
      </c>
      <c r="O40">
        <v>4</v>
      </c>
      <c r="P40">
        <v>4</v>
      </c>
      <c r="Q40">
        <v>4</v>
      </c>
      <c r="R40">
        <v>5</v>
      </c>
      <c r="S40">
        <v>4</v>
      </c>
      <c r="T40">
        <v>5</v>
      </c>
      <c r="U40">
        <v>4</v>
      </c>
      <c r="V40">
        <v>79</v>
      </c>
      <c r="W40">
        <v>2</v>
      </c>
      <c r="X40" t="s">
        <v>67</v>
      </c>
      <c r="Y40">
        <v>6</v>
      </c>
      <c r="AC40" s="3" t="s">
        <v>30</v>
      </c>
      <c r="AD40">
        <v>-2.5</v>
      </c>
    </row>
    <row r="41" spans="1:30" x14ac:dyDescent="0.25">
      <c r="A41" t="s">
        <v>32</v>
      </c>
      <c r="B41">
        <v>6</v>
      </c>
      <c r="C41">
        <v>2</v>
      </c>
      <c r="D41">
        <v>5</v>
      </c>
      <c r="E41">
        <v>5</v>
      </c>
      <c r="F41">
        <v>6</v>
      </c>
      <c r="G41">
        <v>4</v>
      </c>
      <c r="H41">
        <v>4</v>
      </c>
      <c r="I41">
        <v>4</v>
      </c>
      <c r="J41">
        <v>4</v>
      </c>
      <c r="K41">
        <v>4</v>
      </c>
      <c r="L41">
        <v>6</v>
      </c>
      <c r="M41">
        <v>4</v>
      </c>
      <c r="N41">
        <v>3</v>
      </c>
      <c r="O41">
        <v>4</v>
      </c>
      <c r="P41">
        <v>4</v>
      </c>
      <c r="Q41">
        <v>4</v>
      </c>
      <c r="R41">
        <v>5</v>
      </c>
      <c r="S41">
        <v>4</v>
      </c>
      <c r="T41">
        <v>5</v>
      </c>
      <c r="U41">
        <v>4</v>
      </c>
      <c r="V41">
        <v>79</v>
      </c>
      <c r="W41">
        <v>2</v>
      </c>
      <c r="X41" t="s">
        <v>88</v>
      </c>
      <c r="Y41">
        <v>2</v>
      </c>
      <c r="AC41" s="3" t="s">
        <v>31</v>
      </c>
      <c r="AD41">
        <v>0.5</v>
      </c>
    </row>
    <row r="42" spans="1:30" x14ac:dyDescent="0.25">
      <c r="A42" t="s">
        <v>32</v>
      </c>
      <c r="B42">
        <v>6</v>
      </c>
      <c r="C42">
        <v>2</v>
      </c>
      <c r="D42">
        <v>5</v>
      </c>
      <c r="E42">
        <v>5</v>
      </c>
      <c r="F42">
        <v>6</v>
      </c>
      <c r="G42">
        <v>4</v>
      </c>
      <c r="H42">
        <v>4</v>
      </c>
      <c r="I42">
        <v>4</v>
      </c>
      <c r="J42">
        <v>4</v>
      </c>
      <c r="K42">
        <v>4</v>
      </c>
      <c r="L42">
        <v>6</v>
      </c>
      <c r="M42">
        <v>4</v>
      </c>
      <c r="N42">
        <v>3</v>
      </c>
      <c r="O42">
        <v>4</v>
      </c>
      <c r="P42">
        <v>4</v>
      </c>
      <c r="Q42">
        <v>4</v>
      </c>
      <c r="R42">
        <v>5</v>
      </c>
      <c r="S42">
        <v>4</v>
      </c>
      <c r="T42">
        <v>5</v>
      </c>
      <c r="U42">
        <v>4</v>
      </c>
      <c r="V42">
        <v>79</v>
      </c>
      <c r="W42">
        <v>2</v>
      </c>
      <c r="X42" t="s">
        <v>69</v>
      </c>
      <c r="Y42">
        <v>0</v>
      </c>
      <c r="AC42" s="3" t="s">
        <v>42</v>
      </c>
      <c r="AD42">
        <v>1</v>
      </c>
    </row>
    <row r="43" spans="1:30" x14ac:dyDescent="0.25">
      <c r="A43" t="s">
        <v>32</v>
      </c>
      <c r="B43">
        <v>6</v>
      </c>
      <c r="C43">
        <v>2</v>
      </c>
      <c r="D43">
        <v>5</v>
      </c>
      <c r="E43">
        <v>5</v>
      </c>
      <c r="F43">
        <v>6</v>
      </c>
      <c r="G43">
        <v>4</v>
      </c>
      <c r="H43">
        <v>4</v>
      </c>
      <c r="I43">
        <v>4</v>
      </c>
      <c r="J43">
        <v>4</v>
      </c>
      <c r="K43">
        <v>4</v>
      </c>
      <c r="L43">
        <v>6</v>
      </c>
      <c r="M43">
        <v>4</v>
      </c>
      <c r="N43">
        <v>3</v>
      </c>
      <c r="O43">
        <v>4</v>
      </c>
      <c r="P43">
        <v>4</v>
      </c>
      <c r="Q43">
        <v>4</v>
      </c>
      <c r="R43">
        <v>5</v>
      </c>
      <c r="S43">
        <v>4</v>
      </c>
      <c r="T43">
        <v>5</v>
      </c>
      <c r="U43">
        <v>4</v>
      </c>
      <c r="V43">
        <v>79</v>
      </c>
      <c r="W43">
        <v>2</v>
      </c>
      <c r="X43" t="s">
        <v>89</v>
      </c>
      <c r="Y43">
        <v>0</v>
      </c>
      <c r="AC43" s="3" t="s">
        <v>40</v>
      </c>
      <c r="AD43">
        <v>-2</v>
      </c>
    </row>
    <row r="44" spans="1:30" x14ac:dyDescent="0.25">
      <c r="A44" t="s">
        <v>33</v>
      </c>
      <c r="B44">
        <v>6</v>
      </c>
      <c r="C44">
        <v>1</v>
      </c>
      <c r="D44">
        <v>6</v>
      </c>
      <c r="E44">
        <v>3</v>
      </c>
      <c r="F44">
        <v>5</v>
      </c>
      <c r="G44">
        <v>3</v>
      </c>
      <c r="H44">
        <v>5</v>
      </c>
      <c r="I44">
        <v>5</v>
      </c>
      <c r="J44">
        <v>3</v>
      </c>
      <c r="K44">
        <v>4</v>
      </c>
      <c r="L44">
        <v>5</v>
      </c>
      <c r="M44">
        <v>5</v>
      </c>
      <c r="N44">
        <v>3</v>
      </c>
      <c r="O44">
        <v>6</v>
      </c>
      <c r="P44">
        <v>6</v>
      </c>
      <c r="Q44">
        <v>6</v>
      </c>
      <c r="R44">
        <v>4</v>
      </c>
      <c r="S44">
        <v>3</v>
      </c>
      <c r="T44">
        <v>3</v>
      </c>
      <c r="U44">
        <v>5</v>
      </c>
      <c r="V44">
        <v>80</v>
      </c>
      <c r="W44">
        <v>3</v>
      </c>
      <c r="X44" t="s">
        <v>66</v>
      </c>
      <c r="Y44">
        <v>7</v>
      </c>
      <c r="AC44" s="3" t="s">
        <v>23</v>
      </c>
      <c r="AD44">
        <v>4</v>
      </c>
    </row>
    <row r="45" spans="1:30" x14ac:dyDescent="0.25">
      <c r="A45" t="s">
        <v>33</v>
      </c>
      <c r="B45">
        <v>6</v>
      </c>
      <c r="C45">
        <v>1</v>
      </c>
      <c r="D45">
        <v>6</v>
      </c>
      <c r="E45">
        <v>3</v>
      </c>
      <c r="F45">
        <v>5</v>
      </c>
      <c r="G45">
        <v>3</v>
      </c>
      <c r="H45">
        <v>5</v>
      </c>
      <c r="I45">
        <v>5</v>
      </c>
      <c r="J45">
        <v>3</v>
      </c>
      <c r="K45">
        <v>4</v>
      </c>
      <c r="L45">
        <v>5</v>
      </c>
      <c r="M45">
        <v>5</v>
      </c>
      <c r="N45">
        <v>3</v>
      </c>
      <c r="O45">
        <v>6</v>
      </c>
      <c r="P45">
        <v>6</v>
      </c>
      <c r="Q45">
        <v>6</v>
      </c>
      <c r="R45">
        <v>4</v>
      </c>
      <c r="S45">
        <v>3</v>
      </c>
      <c r="T45">
        <v>3</v>
      </c>
      <c r="U45">
        <v>5</v>
      </c>
      <c r="V45">
        <v>80</v>
      </c>
      <c r="W45">
        <v>3</v>
      </c>
      <c r="X45" t="s">
        <v>65</v>
      </c>
      <c r="Y45">
        <v>2</v>
      </c>
      <c r="AC45" s="3" t="s">
        <v>24</v>
      </c>
      <c r="AD45">
        <v>-4</v>
      </c>
    </row>
    <row r="46" spans="1:30" x14ac:dyDescent="0.25">
      <c r="A46" t="s">
        <v>33</v>
      </c>
      <c r="B46">
        <v>6</v>
      </c>
      <c r="C46">
        <v>1</v>
      </c>
      <c r="D46">
        <v>6</v>
      </c>
      <c r="E46">
        <v>3</v>
      </c>
      <c r="F46">
        <v>5</v>
      </c>
      <c r="G46">
        <v>3</v>
      </c>
      <c r="H46">
        <v>5</v>
      </c>
      <c r="I46">
        <v>5</v>
      </c>
      <c r="J46">
        <v>3</v>
      </c>
      <c r="K46">
        <v>4</v>
      </c>
      <c r="L46">
        <v>5</v>
      </c>
      <c r="M46">
        <v>5</v>
      </c>
      <c r="N46">
        <v>3</v>
      </c>
      <c r="O46">
        <v>6</v>
      </c>
      <c r="P46">
        <v>6</v>
      </c>
      <c r="Q46">
        <v>6</v>
      </c>
      <c r="R46">
        <v>4</v>
      </c>
      <c r="S46">
        <v>3</v>
      </c>
      <c r="T46">
        <v>3</v>
      </c>
      <c r="U46">
        <v>5</v>
      </c>
      <c r="V46">
        <v>80</v>
      </c>
      <c r="W46">
        <v>3</v>
      </c>
      <c r="X46" t="s">
        <v>64</v>
      </c>
      <c r="Y46">
        <v>0</v>
      </c>
      <c r="AC46" s="3" t="s">
        <v>51</v>
      </c>
      <c r="AD46">
        <v>-0.5</v>
      </c>
    </row>
    <row r="47" spans="1:30" x14ac:dyDescent="0.25">
      <c r="A47" t="s">
        <v>33</v>
      </c>
      <c r="B47">
        <v>6</v>
      </c>
      <c r="C47">
        <v>1</v>
      </c>
      <c r="D47">
        <v>6</v>
      </c>
      <c r="E47">
        <v>3</v>
      </c>
      <c r="F47">
        <v>5</v>
      </c>
      <c r="G47">
        <v>3</v>
      </c>
      <c r="H47">
        <v>5</v>
      </c>
      <c r="I47">
        <v>5</v>
      </c>
      <c r="J47">
        <v>3</v>
      </c>
      <c r="K47">
        <v>4</v>
      </c>
      <c r="L47">
        <v>5</v>
      </c>
      <c r="M47">
        <v>5</v>
      </c>
      <c r="N47">
        <v>3</v>
      </c>
      <c r="O47">
        <v>6</v>
      </c>
      <c r="P47">
        <v>6</v>
      </c>
      <c r="Q47">
        <v>6</v>
      </c>
      <c r="R47">
        <v>4</v>
      </c>
      <c r="S47">
        <v>3</v>
      </c>
      <c r="T47">
        <v>3</v>
      </c>
      <c r="U47">
        <v>5</v>
      </c>
      <c r="V47">
        <v>80</v>
      </c>
      <c r="W47">
        <v>3</v>
      </c>
      <c r="X47" t="s">
        <v>67</v>
      </c>
      <c r="Y47">
        <v>7</v>
      </c>
      <c r="AC47" s="3" t="s">
        <v>26</v>
      </c>
      <c r="AD47">
        <v>0</v>
      </c>
    </row>
    <row r="48" spans="1:30" x14ac:dyDescent="0.25">
      <c r="A48" t="s">
        <v>33</v>
      </c>
      <c r="B48">
        <v>6</v>
      </c>
      <c r="C48">
        <v>1</v>
      </c>
      <c r="D48">
        <v>6</v>
      </c>
      <c r="E48">
        <v>3</v>
      </c>
      <c r="F48">
        <v>5</v>
      </c>
      <c r="G48">
        <v>3</v>
      </c>
      <c r="H48">
        <v>5</v>
      </c>
      <c r="I48">
        <v>5</v>
      </c>
      <c r="J48">
        <v>3</v>
      </c>
      <c r="K48">
        <v>4</v>
      </c>
      <c r="L48">
        <v>5</v>
      </c>
      <c r="M48">
        <v>5</v>
      </c>
      <c r="N48">
        <v>3</v>
      </c>
      <c r="O48">
        <v>6</v>
      </c>
      <c r="P48">
        <v>6</v>
      </c>
      <c r="Q48">
        <v>6</v>
      </c>
      <c r="R48">
        <v>4</v>
      </c>
      <c r="S48">
        <v>3</v>
      </c>
      <c r="T48">
        <v>3</v>
      </c>
      <c r="U48">
        <v>5</v>
      </c>
      <c r="V48">
        <v>80</v>
      </c>
      <c r="W48">
        <v>3</v>
      </c>
      <c r="X48" t="s">
        <v>88</v>
      </c>
      <c r="Y48">
        <v>2</v>
      </c>
      <c r="AC48" s="3" t="s">
        <v>45</v>
      </c>
      <c r="AD48">
        <v>7.5</v>
      </c>
    </row>
    <row r="49" spans="1:30" x14ac:dyDescent="0.25">
      <c r="A49" t="s">
        <v>33</v>
      </c>
      <c r="B49">
        <v>6</v>
      </c>
      <c r="C49">
        <v>1</v>
      </c>
      <c r="D49">
        <v>6</v>
      </c>
      <c r="E49">
        <v>3</v>
      </c>
      <c r="F49">
        <v>5</v>
      </c>
      <c r="G49">
        <v>3</v>
      </c>
      <c r="H49">
        <v>5</v>
      </c>
      <c r="I49">
        <v>5</v>
      </c>
      <c r="J49">
        <v>3</v>
      </c>
      <c r="K49">
        <v>4</v>
      </c>
      <c r="L49">
        <v>5</v>
      </c>
      <c r="M49">
        <v>5</v>
      </c>
      <c r="N49">
        <v>3</v>
      </c>
      <c r="O49">
        <v>6</v>
      </c>
      <c r="P49">
        <v>6</v>
      </c>
      <c r="Q49">
        <v>6</v>
      </c>
      <c r="R49">
        <v>4</v>
      </c>
      <c r="S49">
        <v>3</v>
      </c>
      <c r="T49">
        <v>3</v>
      </c>
      <c r="U49">
        <v>5</v>
      </c>
      <c r="V49">
        <v>80</v>
      </c>
      <c r="W49">
        <v>3</v>
      </c>
      <c r="X49" t="s">
        <v>69</v>
      </c>
      <c r="Y49">
        <v>0</v>
      </c>
      <c r="AC49" s="3" t="s">
        <v>49</v>
      </c>
      <c r="AD49">
        <v>1</v>
      </c>
    </row>
    <row r="50" spans="1:30" x14ac:dyDescent="0.25">
      <c r="A50" t="s">
        <v>33</v>
      </c>
      <c r="B50">
        <v>6</v>
      </c>
      <c r="C50">
        <v>1</v>
      </c>
      <c r="D50">
        <v>6</v>
      </c>
      <c r="E50">
        <v>3</v>
      </c>
      <c r="F50">
        <v>5</v>
      </c>
      <c r="G50">
        <v>3</v>
      </c>
      <c r="H50">
        <v>5</v>
      </c>
      <c r="I50">
        <v>5</v>
      </c>
      <c r="J50">
        <v>3</v>
      </c>
      <c r="K50">
        <v>4</v>
      </c>
      <c r="L50">
        <v>5</v>
      </c>
      <c r="M50">
        <v>5</v>
      </c>
      <c r="N50">
        <v>3</v>
      </c>
      <c r="O50">
        <v>6</v>
      </c>
      <c r="P50">
        <v>6</v>
      </c>
      <c r="Q50">
        <v>6</v>
      </c>
      <c r="R50">
        <v>4</v>
      </c>
      <c r="S50">
        <v>3</v>
      </c>
      <c r="T50">
        <v>3</v>
      </c>
      <c r="U50">
        <v>5</v>
      </c>
      <c r="V50">
        <v>80</v>
      </c>
      <c r="W50">
        <v>3</v>
      </c>
      <c r="X50" t="s">
        <v>89</v>
      </c>
      <c r="Y50">
        <v>0</v>
      </c>
      <c r="AC50" s="3" t="s">
        <v>52</v>
      </c>
      <c r="AD50">
        <v>7.5</v>
      </c>
    </row>
    <row r="51" spans="1:30" x14ac:dyDescent="0.25">
      <c r="A51" t="s">
        <v>29</v>
      </c>
      <c r="B51">
        <v>10</v>
      </c>
      <c r="C51">
        <v>1</v>
      </c>
      <c r="D51">
        <v>4</v>
      </c>
      <c r="E51">
        <v>5</v>
      </c>
      <c r="F51">
        <v>4</v>
      </c>
      <c r="G51">
        <v>3</v>
      </c>
      <c r="H51">
        <v>5</v>
      </c>
      <c r="I51">
        <v>5</v>
      </c>
      <c r="J51">
        <v>3</v>
      </c>
      <c r="K51">
        <v>5</v>
      </c>
      <c r="L51">
        <v>4</v>
      </c>
      <c r="M51">
        <v>5</v>
      </c>
      <c r="N51">
        <v>4</v>
      </c>
      <c r="O51">
        <v>4</v>
      </c>
      <c r="P51">
        <v>6</v>
      </c>
      <c r="Q51">
        <v>5</v>
      </c>
      <c r="R51">
        <v>5</v>
      </c>
      <c r="S51">
        <v>3</v>
      </c>
      <c r="T51">
        <v>5</v>
      </c>
      <c r="U51">
        <v>5</v>
      </c>
      <c r="V51">
        <v>80</v>
      </c>
      <c r="W51">
        <v>-1</v>
      </c>
      <c r="X51" t="s">
        <v>66</v>
      </c>
      <c r="Y51">
        <v>8</v>
      </c>
      <c r="AC51" s="3" t="s">
        <v>41</v>
      </c>
      <c r="AD51">
        <v>-1</v>
      </c>
    </row>
    <row r="52" spans="1:30" x14ac:dyDescent="0.25">
      <c r="A52" t="s">
        <v>29</v>
      </c>
      <c r="B52">
        <v>10</v>
      </c>
      <c r="C52">
        <v>1</v>
      </c>
      <c r="D52">
        <v>4</v>
      </c>
      <c r="E52">
        <v>5</v>
      </c>
      <c r="F52">
        <v>4</v>
      </c>
      <c r="G52">
        <v>3</v>
      </c>
      <c r="H52">
        <v>5</v>
      </c>
      <c r="I52">
        <v>5</v>
      </c>
      <c r="J52">
        <v>3</v>
      </c>
      <c r="K52">
        <v>5</v>
      </c>
      <c r="L52">
        <v>4</v>
      </c>
      <c r="M52">
        <v>5</v>
      </c>
      <c r="N52">
        <v>4</v>
      </c>
      <c r="O52">
        <v>4</v>
      </c>
      <c r="P52">
        <v>6</v>
      </c>
      <c r="Q52">
        <v>5</v>
      </c>
      <c r="R52">
        <v>5</v>
      </c>
      <c r="S52">
        <v>3</v>
      </c>
      <c r="T52">
        <v>5</v>
      </c>
      <c r="U52">
        <v>5</v>
      </c>
      <c r="V52">
        <v>80</v>
      </c>
      <c r="W52">
        <v>-1</v>
      </c>
      <c r="X52" t="s">
        <v>65</v>
      </c>
      <c r="Y52">
        <v>1</v>
      </c>
      <c r="AC52" s="3" t="s">
        <v>28</v>
      </c>
      <c r="AD52">
        <v>-3</v>
      </c>
    </row>
    <row r="53" spans="1:30" x14ac:dyDescent="0.25">
      <c r="A53" t="s">
        <v>29</v>
      </c>
      <c r="B53">
        <v>10</v>
      </c>
      <c r="C53">
        <v>1</v>
      </c>
      <c r="D53">
        <v>4</v>
      </c>
      <c r="E53">
        <v>5</v>
      </c>
      <c r="F53">
        <v>4</v>
      </c>
      <c r="G53">
        <v>3</v>
      </c>
      <c r="H53">
        <v>5</v>
      </c>
      <c r="I53">
        <v>5</v>
      </c>
      <c r="J53">
        <v>3</v>
      </c>
      <c r="K53">
        <v>5</v>
      </c>
      <c r="L53">
        <v>4</v>
      </c>
      <c r="M53">
        <v>5</v>
      </c>
      <c r="N53">
        <v>4</v>
      </c>
      <c r="O53">
        <v>4</v>
      </c>
      <c r="P53">
        <v>6</v>
      </c>
      <c r="Q53">
        <v>5</v>
      </c>
      <c r="R53">
        <v>5</v>
      </c>
      <c r="S53">
        <v>3</v>
      </c>
      <c r="T53">
        <v>5</v>
      </c>
      <c r="U53">
        <v>5</v>
      </c>
      <c r="V53">
        <v>80</v>
      </c>
      <c r="W53">
        <v>-1</v>
      </c>
      <c r="X53" t="s">
        <v>64</v>
      </c>
      <c r="Y53">
        <v>0</v>
      </c>
      <c r="AC53" s="3" t="s">
        <v>44</v>
      </c>
      <c r="AD53">
        <v>-3.5</v>
      </c>
    </row>
    <row r="54" spans="1:30" x14ac:dyDescent="0.25">
      <c r="A54" t="s">
        <v>29</v>
      </c>
      <c r="B54">
        <v>10</v>
      </c>
      <c r="C54">
        <v>1</v>
      </c>
      <c r="D54">
        <v>4</v>
      </c>
      <c r="E54">
        <v>5</v>
      </c>
      <c r="F54">
        <v>4</v>
      </c>
      <c r="G54">
        <v>3</v>
      </c>
      <c r="H54">
        <v>5</v>
      </c>
      <c r="I54">
        <v>5</v>
      </c>
      <c r="J54">
        <v>3</v>
      </c>
      <c r="K54">
        <v>5</v>
      </c>
      <c r="L54">
        <v>4</v>
      </c>
      <c r="M54">
        <v>5</v>
      </c>
      <c r="N54">
        <v>4</v>
      </c>
      <c r="O54">
        <v>4</v>
      </c>
      <c r="P54">
        <v>6</v>
      </c>
      <c r="Q54">
        <v>5</v>
      </c>
      <c r="R54">
        <v>5</v>
      </c>
      <c r="S54">
        <v>3</v>
      </c>
      <c r="T54">
        <v>5</v>
      </c>
      <c r="U54">
        <v>5</v>
      </c>
      <c r="V54">
        <v>80</v>
      </c>
      <c r="W54">
        <v>-1</v>
      </c>
      <c r="X54" t="s">
        <v>67</v>
      </c>
      <c r="Y54">
        <v>8</v>
      </c>
      <c r="AC54" s="3" t="s">
        <v>38</v>
      </c>
      <c r="AD54">
        <v>4</v>
      </c>
    </row>
    <row r="55" spans="1:30" x14ac:dyDescent="0.25">
      <c r="A55" t="s">
        <v>29</v>
      </c>
      <c r="B55">
        <v>10</v>
      </c>
      <c r="C55">
        <v>1</v>
      </c>
      <c r="D55">
        <v>4</v>
      </c>
      <c r="E55">
        <v>5</v>
      </c>
      <c r="F55">
        <v>4</v>
      </c>
      <c r="G55">
        <v>3</v>
      </c>
      <c r="H55">
        <v>5</v>
      </c>
      <c r="I55">
        <v>5</v>
      </c>
      <c r="J55">
        <v>3</v>
      </c>
      <c r="K55">
        <v>5</v>
      </c>
      <c r="L55">
        <v>4</v>
      </c>
      <c r="M55">
        <v>5</v>
      </c>
      <c r="N55">
        <v>4</v>
      </c>
      <c r="O55">
        <v>4</v>
      </c>
      <c r="P55">
        <v>6</v>
      </c>
      <c r="Q55">
        <v>5</v>
      </c>
      <c r="R55">
        <v>5</v>
      </c>
      <c r="S55">
        <v>3</v>
      </c>
      <c r="T55">
        <v>5</v>
      </c>
      <c r="U55">
        <v>5</v>
      </c>
      <c r="V55">
        <v>80</v>
      </c>
      <c r="W55">
        <v>-1</v>
      </c>
      <c r="X55" t="s">
        <v>88</v>
      </c>
      <c r="Y55">
        <v>1</v>
      </c>
      <c r="AC55" s="3" t="s">
        <v>48</v>
      </c>
      <c r="AD55">
        <v>2.5</v>
      </c>
    </row>
    <row r="56" spans="1:30" x14ac:dyDescent="0.25">
      <c r="A56" t="s">
        <v>29</v>
      </c>
      <c r="B56">
        <v>10</v>
      </c>
      <c r="C56">
        <v>1</v>
      </c>
      <c r="D56">
        <v>4</v>
      </c>
      <c r="E56">
        <v>5</v>
      </c>
      <c r="F56">
        <v>4</v>
      </c>
      <c r="G56">
        <v>3</v>
      </c>
      <c r="H56">
        <v>5</v>
      </c>
      <c r="I56">
        <v>5</v>
      </c>
      <c r="J56">
        <v>3</v>
      </c>
      <c r="K56">
        <v>5</v>
      </c>
      <c r="L56">
        <v>4</v>
      </c>
      <c r="M56">
        <v>5</v>
      </c>
      <c r="N56">
        <v>4</v>
      </c>
      <c r="O56">
        <v>4</v>
      </c>
      <c r="P56">
        <v>6</v>
      </c>
      <c r="Q56">
        <v>5</v>
      </c>
      <c r="R56">
        <v>5</v>
      </c>
      <c r="S56">
        <v>3</v>
      </c>
      <c r="T56">
        <v>5</v>
      </c>
      <c r="U56">
        <v>5</v>
      </c>
      <c r="V56">
        <v>80</v>
      </c>
      <c r="W56">
        <v>-1</v>
      </c>
      <c r="X56" t="s">
        <v>69</v>
      </c>
      <c r="Y56">
        <v>0</v>
      </c>
      <c r="AC56" s="3" t="s">
        <v>47</v>
      </c>
      <c r="AD56">
        <v>0</v>
      </c>
    </row>
    <row r="57" spans="1:30" x14ac:dyDescent="0.25">
      <c r="A57" t="s">
        <v>29</v>
      </c>
      <c r="B57">
        <v>10</v>
      </c>
      <c r="C57">
        <v>1</v>
      </c>
      <c r="D57">
        <v>4</v>
      </c>
      <c r="E57">
        <v>5</v>
      </c>
      <c r="F57">
        <v>4</v>
      </c>
      <c r="G57">
        <v>3</v>
      </c>
      <c r="H57">
        <v>5</v>
      </c>
      <c r="I57">
        <v>5</v>
      </c>
      <c r="J57">
        <v>3</v>
      </c>
      <c r="K57">
        <v>5</v>
      </c>
      <c r="L57">
        <v>4</v>
      </c>
      <c r="M57">
        <v>5</v>
      </c>
      <c r="N57">
        <v>4</v>
      </c>
      <c r="O57">
        <v>4</v>
      </c>
      <c r="P57">
        <v>6</v>
      </c>
      <c r="Q57">
        <v>5</v>
      </c>
      <c r="R57">
        <v>5</v>
      </c>
      <c r="S57">
        <v>3</v>
      </c>
      <c r="T57">
        <v>5</v>
      </c>
      <c r="U57">
        <v>5</v>
      </c>
      <c r="V57">
        <v>80</v>
      </c>
      <c r="W57">
        <v>-1</v>
      </c>
      <c r="X57" t="s">
        <v>89</v>
      </c>
      <c r="Y57">
        <v>0</v>
      </c>
      <c r="AC57" s="3" t="s">
        <v>37</v>
      </c>
      <c r="AD57">
        <v>-1</v>
      </c>
    </row>
    <row r="58" spans="1:30" x14ac:dyDescent="0.25">
      <c r="A58" t="s">
        <v>49</v>
      </c>
      <c r="B58">
        <v>14</v>
      </c>
      <c r="C58">
        <v>1</v>
      </c>
      <c r="D58">
        <v>6</v>
      </c>
      <c r="E58">
        <v>4</v>
      </c>
      <c r="F58">
        <v>4</v>
      </c>
      <c r="G58">
        <v>4</v>
      </c>
      <c r="H58">
        <v>5</v>
      </c>
      <c r="I58">
        <v>5</v>
      </c>
      <c r="J58">
        <v>4</v>
      </c>
      <c r="K58">
        <v>4</v>
      </c>
      <c r="L58">
        <v>6</v>
      </c>
      <c r="M58">
        <v>5</v>
      </c>
      <c r="N58">
        <v>4</v>
      </c>
      <c r="O58">
        <v>4</v>
      </c>
      <c r="P58">
        <v>5</v>
      </c>
      <c r="Q58">
        <v>5</v>
      </c>
      <c r="R58">
        <v>5</v>
      </c>
      <c r="S58">
        <v>3</v>
      </c>
      <c r="T58">
        <v>4</v>
      </c>
      <c r="U58">
        <v>5</v>
      </c>
      <c r="V58">
        <v>82</v>
      </c>
      <c r="W58">
        <v>-3</v>
      </c>
      <c r="X58" t="s">
        <v>66</v>
      </c>
      <c r="Y58">
        <v>8</v>
      </c>
      <c r="AC58" s="3" t="s">
        <v>57</v>
      </c>
      <c r="AD58">
        <v>1.1499999999999999</v>
      </c>
    </row>
    <row r="59" spans="1:30" x14ac:dyDescent="0.25">
      <c r="A59" t="s">
        <v>49</v>
      </c>
      <c r="B59">
        <v>14</v>
      </c>
      <c r="C59">
        <v>1</v>
      </c>
      <c r="D59">
        <v>6</v>
      </c>
      <c r="E59">
        <v>4</v>
      </c>
      <c r="F59">
        <v>4</v>
      </c>
      <c r="G59">
        <v>4</v>
      </c>
      <c r="H59">
        <v>5</v>
      </c>
      <c r="I59">
        <v>5</v>
      </c>
      <c r="J59">
        <v>4</v>
      </c>
      <c r="K59">
        <v>4</v>
      </c>
      <c r="L59">
        <v>6</v>
      </c>
      <c r="M59">
        <v>5</v>
      </c>
      <c r="N59">
        <v>4</v>
      </c>
      <c r="O59">
        <v>4</v>
      </c>
      <c r="P59">
        <v>5</v>
      </c>
      <c r="Q59">
        <v>5</v>
      </c>
      <c r="R59">
        <v>5</v>
      </c>
      <c r="S59">
        <v>3</v>
      </c>
      <c r="T59">
        <v>4</v>
      </c>
      <c r="U59">
        <v>5</v>
      </c>
      <c r="V59">
        <v>82</v>
      </c>
      <c r="W59">
        <v>-3</v>
      </c>
      <c r="X59" t="s">
        <v>65</v>
      </c>
      <c r="Y59">
        <v>0</v>
      </c>
    </row>
    <row r="60" spans="1:30" x14ac:dyDescent="0.25">
      <c r="A60" t="s">
        <v>49</v>
      </c>
      <c r="B60">
        <v>14</v>
      </c>
      <c r="C60">
        <v>1</v>
      </c>
      <c r="D60">
        <v>6</v>
      </c>
      <c r="E60">
        <v>4</v>
      </c>
      <c r="F60">
        <v>4</v>
      </c>
      <c r="G60">
        <v>4</v>
      </c>
      <c r="H60">
        <v>5</v>
      </c>
      <c r="I60">
        <v>5</v>
      </c>
      <c r="J60">
        <v>4</v>
      </c>
      <c r="K60">
        <v>4</v>
      </c>
      <c r="L60">
        <v>6</v>
      </c>
      <c r="M60">
        <v>5</v>
      </c>
      <c r="N60">
        <v>4</v>
      </c>
      <c r="O60">
        <v>4</v>
      </c>
      <c r="P60">
        <v>5</v>
      </c>
      <c r="Q60">
        <v>5</v>
      </c>
      <c r="R60">
        <v>5</v>
      </c>
      <c r="S60">
        <v>3</v>
      </c>
      <c r="T60">
        <v>4</v>
      </c>
      <c r="U60">
        <v>5</v>
      </c>
      <c r="V60">
        <v>82</v>
      </c>
      <c r="W60">
        <v>-3</v>
      </c>
      <c r="X60" t="s">
        <v>64</v>
      </c>
      <c r="Y60">
        <v>0</v>
      </c>
    </row>
    <row r="61" spans="1:30" x14ac:dyDescent="0.25">
      <c r="A61" t="s">
        <v>49</v>
      </c>
      <c r="B61">
        <v>14</v>
      </c>
      <c r="C61">
        <v>1</v>
      </c>
      <c r="D61">
        <v>6</v>
      </c>
      <c r="E61">
        <v>4</v>
      </c>
      <c r="F61">
        <v>4</v>
      </c>
      <c r="G61">
        <v>4</v>
      </c>
      <c r="H61">
        <v>5</v>
      </c>
      <c r="I61">
        <v>5</v>
      </c>
      <c r="J61">
        <v>4</v>
      </c>
      <c r="K61">
        <v>4</v>
      </c>
      <c r="L61">
        <v>6</v>
      </c>
      <c r="M61">
        <v>5</v>
      </c>
      <c r="N61">
        <v>4</v>
      </c>
      <c r="O61">
        <v>4</v>
      </c>
      <c r="P61">
        <v>5</v>
      </c>
      <c r="Q61">
        <v>5</v>
      </c>
      <c r="R61">
        <v>5</v>
      </c>
      <c r="S61">
        <v>3</v>
      </c>
      <c r="T61">
        <v>4</v>
      </c>
      <c r="U61">
        <v>5</v>
      </c>
      <c r="V61">
        <v>82</v>
      </c>
      <c r="W61">
        <v>-3</v>
      </c>
      <c r="X61" t="s">
        <v>67</v>
      </c>
      <c r="Y61">
        <v>9</v>
      </c>
    </row>
    <row r="62" spans="1:30" x14ac:dyDescent="0.25">
      <c r="A62" t="s">
        <v>49</v>
      </c>
      <c r="B62">
        <v>14</v>
      </c>
      <c r="C62">
        <v>1</v>
      </c>
      <c r="D62">
        <v>6</v>
      </c>
      <c r="E62">
        <v>4</v>
      </c>
      <c r="F62">
        <v>4</v>
      </c>
      <c r="G62">
        <v>4</v>
      </c>
      <c r="H62">
        <v>5</v>
      </c>
      <c r="I62">
        <v>5</v>
      </c>
      <c r="J62">
        <v>4</v>
      </c>
      <c r="K62">
        <v>4</v>
      </c>
      <c r="L62">
        <v>6</v>
      </c>
      <c r="M62">
        <v>5</v>
      </c>
      <c r="N62">
        <v>4</v>
      </c>
      <c r="O62">
        <v>4</v>
      </c>
      <c r="P62">
        <v>5</v>
      </c>
      <c r="Q62">
        <v>5</v>
      </c>
      <c r="R62">
        <v>5</v>
      </c>
      <c r="S62">
        <v>3</v>
      </c>
      <c r="T62">
        <v>4</v>
      </c>
      <c r="U62">
        <v>5</v>
      </c>
      <c r="V62">
        <v>82</v>
      </c>
      <c r="W62">
        <v>-3</v>
      </c>
      <c r="X62" t="s">
        <v>88</v>
      </c>
      <c r="Y62">
        <v>1</v>
      </c>
    </row>
    <row r="63" spans="1:30" x14ac:dyDescent="0.25">
      <c r="A63" t="s">
        <v>49</v>
      </c>
      <c r="B63">
        <v>14</v>
      </c>
      <c r="C63">
        <v>1</v>
      </c>
      <c r="D63">
        <v>6</v>
      </c>
      <c r="E63">
        <v>4</v>
      </c>
      <c r="F63">
        <v>4</v>
      </c>
      <c r="G63">
        <v>4</v>
      </c>
      <c r="H63">
        <v>5</v>
      </c>
      <c r="I63">
        <v>5</v>
      </c>
      <c r="J63">
        <v>4</v>
      </c>
      <c r="K63">
        <v>4</v>
      </c>
      <c r="L63">
        <v>6</v>
      </c>
      <c r="M63">
        <v>5</v>
      </c>
      <c r="N63">
        <v>4</v>
      </c>
      <c r="O63">
        <v>4</v>
      </c>
      <c r="P63">
        <v>5</v>
      </c>
      <c r="Q63">
        <v>5</v>
      </c>
      <c r="R63">
        <v>5</v>
      </c>
      <c r="S63">
        <v>3</v>
      </c>
      <c r="T63">
        <v>4</v>
      </c>
      <c r="U63">
        <v>5</v>
      </c>
      <c r="V63">
        <v>82</v>
      </c>
      <c r="W63">
        <v>-3</v>
      </c>
      <c r="X63" t="s">
        <v>69</v>
      </c>
      <c r="Y63">
        <v>0</v>
      </c>
    </row>
    <row r="64" spans="1:30" x14ac:dyDescent="0.25">
      <c r="A64" t="s">
        <v>49</v>
      </c>
      <c r="B64">
        <v>14</v>
      </c>
      <c r="C64">
        <v>1</v>
      </c>
      <c r="D64">
        <v>6</v>
      </c>
      <c r="E64">
        <v>4</v>
      </c>
      <c r="F64">
        <v>4</v>
      </c>
      <c r="G64">
        <v>4</v>
      </c>
      <c r="H64">
        <v>5</v>
      </c>
      <c r="I64">
        <v>5</v>
      </c>
      <c r="J64">
        <v>4</v>
      </c>
      <c r="K64">
        <v>4</v>
      </c>
      <c r="L64">
        <v>6</v>
      </c>
      <c r="M64">
        <v>5</v>
      </c>
      <c r="N64">
        <v>4</v>
      </c>
      <c r="O64">
        <v>4</v>
      </c>
      <c r="P64">
        <v>5</v>
      </c>
      <c r="Q64">
        <v>5</v>
      </c>
      <c r="R64">
        <v>5</v>
      </c>
      <c r="S64">
        <v>3</v>
      </c>
      <c r="T64">
        <v>4</v>
      </c>
      <c r="U64">
        <v>5</v>
      </c>
      <c r="V64">
        <v>82</v>
      </c>
      <c r="W64">
        <v>-3</v>
      </c>
      <c r="X64" t="s">
        <v>89</v>
      </c>
      <c r="Y64">
        <v>0</v>
      </c>
    </row>
    <row r="65" spans="1:25" x14ac:dyDescent="0.25">
      <c r="A65" t="s">
        <v>41</v>
      </c>
      <c r="B65">
        <v>14</v>
      </c>
      <c r="C65">
        <v>2</v>
      </c>
      <c r="D65">
        <v>6</v>
      </c>
      <c r="E65">
        <v>5</v>
      </c>
      <c r="F65">
        <v>5</v>
      </c>
      <c r="G65">
        <v>3</v>
      </c>
      <c r="H65">
        <v>5</v>
      </c>
      <c r="I65">
        <v>7</v>
      </c>
      <c r="J65">
        <v>5</v>
      </c>
      <c r="K65">
        <v>4</v>
      </c>
      <c r="L65">
        <v>4</v>
      </c>
      <c r="M65">
        <v>4</v>
      </c>
      <c r="N65">
        <v>4</v>
      </c>
      <c r="O65">
        <v>4</v>
      </c>
      <c r="P65">
        <v>6</v>
      </c>
      <c r="Q65">
        <v>5</v>
      </c>
      <c r="R65">
        <v>3</v>
      </c>
      <c r="S65">
        <v>3</v>
      </c>
      <c r="T65">
        <v>4</v>
      </c>
      <c r="U65">
        <v>5</v>
      </c>
      <c r="V65">
        <v>82</v>
      </c>
      <c r="W65">
        <v>-3</v>
      </c>
      <c r="X65" t="s">
        <v>66</v>
      </c>
      <c r="Y65">
        <v>8</v>
      </c>
    </row>
    <row r="66" spans="1:25" x14ac:dyDescent="0.25">
      <c r="A66" t="s">
        <v>41</v>
      </c>
      <c r="B66">
        <v>14</v>
      </c>
      <c r="C66">
        <v>2</v>
      </c>
      <c r="D66">
        <v>6</v>
      </c>
      <c r="E66">
        <v>5</v>
      </c>
      <c r="F66">
        <v>5</v>
      </c>
      <c r="G66">
        <v>3</v>
      </c>
      <c r="H66">
        <v>5</v>
      </c>
      <c r="I66">
        <v>7</v>
      </c>
      <c r="J66">
        <v>5</v>
      </c>
      <c r="K66">
        <v>4</v>
      </c>
      <c r="L66">
        <v>4</v>
      </c>
      <c r="M66">
        <v>4</v>
      </c>
      <c r="N66">
        <v>4</v>
      </c>
      <c r="O66">
        <v>4</v>
      </c>
      <c r="P66">
        <v>6</v>
      </c>
      <c r="Q66">
        <v>5</v>
      </c>
      <c r="R66">
        <v>3</v>
      </c>
      <c r="S66">
        <v>3</v>
      </c>
      <c r="T66">
        <v>4</v>
      </c>
      <c r="U66">
        <v>5</v>
      </c>
      <c r="V66">
        <v>82</v>
      </c>
      <c r="W66">
        <v>-3</v>
      </c>
      <c r="X66" t="s">
        <v>65</v>
      </c>
      <c r="Y66">
        <v>1</v>
      </c>
    </row>
    <row r="67" spans="1:25" x14ac:dyDescent="0.25">
      <c r="A67" t="s">
        <v>41</v>
      </c>
      <c r="B67">
        <v>14</v>
      </c>
      <c r="C67">
        <v>2</v>
      </c>
      <c r="D67">
        <v>6</v>
      </c>
      <c r="E67">
        <v>5</v>
      </c>
      <c r="F67">
        <v>5</v>
      </c>
      <c r="G67">
        <v>3</v>
      </c>
      <c r="H67">
        <v>5</v>
      </c>
      <c r="I67">
        <v>7</v>
      </c>
      <c r="J67">
        <v>5</v>
      </c>
      <c r="K67">
        <v>4</v>
      </c>
      <c r="L67">
        <v>4</v>
      </c>
      <c r="M67">
        <v>4</v>
      </c>
      <c r="N67">
        <v>4</v>
      </c>
      <c r="O67">
        <v>4</v>
      </c>
      <c r="P67">
        <v>6</v>
      </c>
      <c r="Q67">
        <v>5</v>
      </c>
      <c r="R67">
        <v>3</v>
      </c>
      <c r="S67">
        <v>3</v>
      </c>
      <c r="T67">
        <v>4</v>
      </c>
      <c r="U67">
        <v>5</v>
      </c>
      <c r="V67">
        <v>82</v>
      </c>
      <c r="W67">
        <v>-3</v>
      </c>
      <c r="X67" t="s">
        <v>64</v>
      </c>
      <c r="Y67">
        <v>0</v>
      </c>
    </row>
    <row r="68" spans="1:25" x14ac:dyDescent="0.25">
      <c r="A68" t="s">
        <v>41</v>
      </c>
      <c r="B68">
        <v>14</v>
      </c>
      <c r="C68">
        <v>2</v>
      </c>
      <c r="D68">
        <v>6</v>
      </c>
      <c r="E68">
        <v>5</v>
      </c>
      <c r="F68">
        <v>5</v>
      </c>
      <c r="G68">
        <v>3</v>
      </c>
      <c r="H68">
        <v>5</v>
      </c>
      <c r="I68">
        <v>7</v>
      </c>
      <c r="J68">
        <v>5</v>
      </c>
      <c r="K68">
        <v>4</v>
      </c>
      <c r="L68">
        <v>4</v>
      </c>
      <c r="M68">
        <v>4</v>
      </c>
      <c r="N68">
        <v>4</v>
      </c>
      <c r="O68">
        <v>4</v>
      </c>
      <c r="P68">
        <v>6</v>
      </c>
      <c r="Q68">
        <v>5</v>
      </c>
      <c r="R68">
        <v>3</v>
      </c>
      <c r="S68">
        <v>3</v>
      </c>
      <c r="T68">
        <v>4</v>
      </c>
      <c r="U68">
        <v>5</v>
      </c>
      <c r="V68">
        <v>82</v>
      </c>
      <c r="W68">
        <v>-3</v>
      </c>
      <c r="X68" t="s">
        <v>67</v>
      </c>
      <c r="Y68">
        <v>6</v>
      </c>
    </row>
    <row r="69" spans="1:25" x14ac:dyDescent="0.25">
      <c r="A69" t="s">
        <v>41</v>
      </c>
      <c r="B69">
        <v>14</v>
      </c>
      <c r="C69">
        <v>2</v>
      </c>
      <c r="D69">
        <v>6</v>
      </c>
      <c r="E69">
        <v>5</v>
      </c>
      <c r="F69">
        <v>5</v>
      </c>
      <c r="G69">
        <v>3</v>
      </c>
      <c r="H69">
        <v>5</v>
      </c>
      <c r="I69">
        <v>7</v>
      </c>
      <c r="J69">
        <v>5</v>
      </c>
      <c r="K69">
        <v>4</v>
      </c>
      <c r="L69">
        <v>4</v>
      </c>
      <c r="M69">
        <v>4</v>
      </c>
      <c r="N69">
        <v>4</v>
      </c>
      <c r="O69">
        <v>4</v>
      </c>
      <c r="P69">
        <v>6</v>
      </c>
      <c r="Q69">
        <v>5</v>
      </c>
      <c r="R69">
        <v>3</v>
      </c>
      <c r="S69">
        <v>3</v>
      </c>
      <c r="T69">
        <v>4</v>
      </c>
      <c r="U69">
        <v>5</v>
      </c>
      <c r="V69">
        <v>82</v>
      </c>
      <c r="W69">
        <v>-3</v>
      </c>
      <c r="X69" t="s">
        <v>88</v>
      </c>
      <c r="Y69">
        <v>3</v>
      </c>
    </row>
    <row r="70" spans="1:25" x14ac:dyDescent="0.25">
      <c r="A70" t="s">
        <v>41</v>
      </c>
      <c r="B70">
        <v>14</v>
      </c>
      <c r="C70">
        <v>2</v>
      </c>
      <c r="D70">
        <v>6</v>
      </c>
      <c r="E70">
        <v>5</v>
      </c>
      <c r="F70">
        <v>5</v>
      </c>
      <c r="G70">
        <v>3</v>
      </c>
      <c r="H70">
        <v>5</v>
      </c>
      <c r="I70">
        <v>7</v>
      </c>
      <c r="J70">
        <v>5</v>
      </c>
      <c r="K70">
        <v>4</v>
      </c>
      <c r="L70">
        <v>4</v>
      </c>
      <c r="M70">
        <v>4</v>
      </c>
      <c r="N70">
        <v>4</v>
      </c>
      <c r="O70">
        <v>4</v>
      </c>
      <c r="P70">
        <v>6</v>
      </c>
      <c r="Q70">
        <v>5</v>
      </c>
      <c r="R70">
        <v>3</v>
      </c>
      <c r="S70">
        <v>3</v>
      </c>
      <c r="T70">
        <v>4</v>
      </c>
      <c r="U70">
        <v>5</v>
      </c>
      <c r="V70">
        <v>82</v>
      </c>
      <c r="W70">
        <v>-3</v>
      </c>
      <c r="X70" t="s">
        <v>69</v>
      </c>
      <c r="Y70">
        <v>0</v>
      </c>
    </row>
    <row r="71" spans="1:25" x14ac:dyDescent="0.25">
      <c r="A71" t="s">
        <v>41</v>
      </c>
      <c r="B71">
        <v>14</v>
      </c>
      <c r="C71">
        <v>2</v>
      </c>
      <c r="D71">
        <v>6</v>
      </c>
      <c r="E71">
        <v>5</v>
      </c>
      <c r="F71">
        <v>5</v>
      </c>
      <c r="G71">
        <v>3</v>
      </c>
      <c r="H71">
        <v>5</v>
      </c>
      <c r="I71">
        <v>7</v>
      </c>
      <c r="J71">
        <v>5</v>
      </c>
      <c r="K71">
        <v>4</v>
      </c>
      <c r="L71">
        <v>4</v>
      </c>
      <c r="M71">
        <v>4</v>
      </c>
      <c r="N71">
        <v>4</v>
      </c>
      <c r="O71">
        <v>4</v>
      </c>
      <c r="P71">
        <v>6</v>
      </c>
      <c r="Q71">
        <v>5</v>
      </c>
      <c r="R71">
        <v>3</v>
      </c>
      <c r="S71">
        <v>3</v>
      </c>
      <c r="T71">
        <v>4</v>
      </c>
      <c r="U71">
        <v>5</v>
      </c>
      <c r="V71">
        <v>82</v>
      </c>
      <c r="W71">
        <v>-3</v>
      </c>
      <c r="X71" t="s">
        <v>89</v>
      </c>
      <c r="Y71">
        <v>0</v>
      </c>
    </row>
    <row r="72" spans="1:25" x14ac:dyDescent="0.25">
      <c r="A72" t="s">
        <v>51</v>
      </c>
      <c r="B72">
        <v>15</v>
      </c>
      <c r="C72">
        <v>2</v>
      </c>
      <c r="D72">
        <v>5</v>
      </c>
      <c r="E72">
        <v>4</v>
      </c>
      <c r="F72">
        <v>4</v>
      </c>
      <c r="G72">
        <v>6</v>
      </c>
      <c r="H72">
        <v>6</v>
      </c>
      <c r="I72">
        <v>5</v>
      </c>
      <c r="J72">
        <v>3</v>
      </c>
      <c r="K72">
        <v>4</v>
      </c>
      <c r="L72">
        <v>5</v>
      </c>
      <c r="M72">
        <v>7</v>
      </c>
      <c r="N72">
        <v>3</v>
      </c>
      <c r="O72">
        <v>4</v>
      </c>
      <c r="P72">
        <v>5</v>
      </c>
      <c r="Q72">
        <v>5</v>
      </c>
      <c r="R72">
        <v>5</v>
      </c>
      <c r="S72">
        <v>3</v>
      </c>
      <c r="T72">
        <v>4</v>
      </c>
      <c r="U72">
        <v>5</v>
      </c>
      <c r="V72">
        <v>83</v>
      </c>
      <c r="W72">
        <v>-3</v>
      </c>
      <c r="X72" t="s">
        <v>66</v>
      </c>
      <c r="Y72">
        <v>11</v>
      </c>
    </row>
    <row r="73" spans="1:25" x14ac:dyDescent="0.25">
      <c r="A73" t="s">
        <v>51</v>
      </c>
      <c r="B73">
        <v>15</v>
      </c>
      <c r="C73">
        <v>2</v>
      </c>
      <c r="D73">
        <v>5</v>
      </c>
      <c r="E73">
        <v>4</v>
      </c>
      <c r="F73">
        <v>4</v>
      </c>
      <c r="G73">
        <v>6</v>
      </c>
      <c r="H73">
        <v>6</v>
      </c>
      <c r="I73">
        <v>5</v>
      </c>
      <c r="J73">
        <v>3</v>
      </c>
      <c r="K73">
        <v>4</v>
      </c>
      <c r="L73">
        <v>5</v>
      </c>
      <c r="M73">
        <v>7</v>
      </c>
      <c r="N73">
        <v>3</v>
      </c>
      <c r="O73">
        <v>4</v>
      </c>
      <c r="P73">
        <v>5</v>
      </c>
      <c r="Q73">
        <v>5</v>
      </c>
      <c r="R73">
        <v>5</v>
      </c>
      <c r="S73">
        <v>3</v>
      </c>
      <c r="T73">
        <v>4</v>
      </c>
      <c r="U73">
        <v>5</v>
      </c>
      <c r="V73">
        <v>83</v>
      </c>
      <c r="W73">
        <v>-3</v>
      </c>
      <c r="X73" t="s">
        <v>65</v>
      </c>
      <c r="Y73">
        <v>0</v>
      </c>
    </row>
    <row r="74" spans="1:25" x14ac:dyDescent="0.25">
      <c r="A74" t="s">
        <v>51</v>
      </c>
      <c r="B74">
        <v>15</v>
      </c>
      <c r="C74">
        <v>2</v>
      </c>
      <c r="D74">
        <v>5</v>
      </c>
      <c r="E74">
        <v>4</v>
      </c>
      <c r="F74">
        <v>4</v>
      </c>
      <c r="G74">
        <v>6</v>
      </c>
      <c r="H74">
        <v>6</v>
      </c>
      <c r="I74">
        <v>5</v>
      </c>
      <c r="J74">
        <v>3</v>
      </c>
      <c r="K74">
        <v>4</v>
      </c>
      <c r="L74">
        <v>5</v>
      </c>
      <c r="M74">
        <v>7</v>
      </c>
      <c r="N74">
        <v>3</v>
      </c>
      <c r="O74">
        <v>4</v>
      </c>
      <c r="P74">
        <v>5</v>
      </c>
      <c r="Q74">
        <v>5</v>
      </c>
      <c r="R74">
        <v>5</v>
      </c>
      <c r="S74">
        <v>3</v>
      </c>
      <c r="T74">
        <v>4</v>
      </c>
      <c r="U74">
        <v>5</v>
      </c>
      <c r="V74">
        <v>83</v>
      </c>
      <c r="W74">
        <v>-3</v>
      </c>
      <c r="X74" t="s">
        <v>64</v>
      </c>
      <c r="Y74">
        <v>0</v>
      </c>
    </row>
    <row r="75" spans="1:25" x14ac:dyDescent="0.25">
      <c r="A75" t="s">
        <v>51</v>
      </c>
      <c r="B75">
        <v>15</v>
      </c>
      <c r="C75">
        <v>2</v>
      </c>
      <c r="D75">
        <v>5</v>
      </c>
      <c r="E75">
        <v>4</v>
      </c>
      <c r="F75">
        <v>4</v>
      </c>
      <c r="G75">
        <v>6</v>
      </c>
      <c r="H75">
        <v>6</v>
      </c>
      <c r="I75">
        <v>5</v>
      </c>
      <c r="J75">
        <v>3</v>
      </c>
      <c r="K75">
        <v>4</v>
      </c>
      <c r="L75">
        <v>5</v>
      </c>
      <c r="M75">
        <v>7</v>
      </c>
      <c r="N75">
        <v>3</v>
      </c>
      <c r="O75">
        <v>4</v>
      </c>
      <c r="P75">
        <v>5</v>
      </c>
      <c r="Q75">
        <v>5</v>
      </c>
      <c r="R75">
        <v>5</v>
      </c>
      <c r="S75">
        <v>3</v>
      </c>
      <c r="T75">
        <v>4</v>
      </c>
      <c r="U75">
        <v>5</v>
      </c>
      <c r="V75">
        <v>83</v>
      </c>
      <c r="W75">
        <v>-3</v>
      </c>
      <c r="X75" t="s">
        <v>67</v>
      </c>
      <c r="Y75">
        <v>4</v>
      </c>
    </row>
    <row r="76" spans="1:25" x14ac:dyDescent="0.25">
      <c r="A76" t="s">
        <v>51</v>
      </c>
      <c r="B76">
        <v>15</v>
      </c>
      <c r="C76">
        <v>2</v>
      </c>
      <c r="D76">
        <v>5</v>
      </c>
      <c r="E76">
        <v>4</v>
      </c>
      <c r="F76">
        <v>4</v>
      </c>
      <c r="G76">
        <v>6</v>
      </c>
      <c r="H76">
        <v>6</v>
      </c>
      <c r="I76">
        <v>5</v>
      </c>
      <c r="J76">
        <v>3</v>
      </c>
      <c r="K76">
        <v>4</v>
      </c>
      <c r="L76">
        <v>5</v>
      </c>
      <c r="M76">
        <v>7</v>
      </c>
      <c r="N76">
        <v>3</v>
      </c>
      <c r="O76">
        <v>4</v>
      </c>
      <c r="P76">
        <v>5</v>
      </c>
      <c r="Q76">
        <v>5</v>
      </c>
      <c r="R76">
        <v>5</v>
      </c>
      <c r="S76">
        <v>3</v>
      </c>
      <c r="T76">
        <v>4</v>
      </c>
      <c r="U76">
        <v>5</v>
      </c>
      <c r="V76">
        <v>83</v>
      </c>
      <c r="W76">
        <v>-3</v>
      </c>
      <c r="X76" t="s">
        <v>88</v>
      </c>
      <c r="Y76">
        <v>1</v>
      </c>
    </row>
    <row r="77" spans="1:25" x14ac:dyDescent="0.25">
      <c r="A77" t="s">
        <v>51</v>
      </c>
      <c r="B77">
        <v>15</v>
      </c>
      <c r="C77">
        <v>2</v>
      </c>
      <c r="D77">
        <v>5</v>
      </c>
      <c r="E77">
        <v>4</v>
      </c>
      <c r="F77">
        <v>4</v>
      </c>
      <c r="G77">
        <v>6</v>
      </c>
      <c r="H77">
        <v>6</v>
      </c>
      <c r="I77">
        <v>5</v>
      </c>
      <c r="J77">
        <v>3</v>
      </c>
      <c r="K77">
        <v>4</v>
      </c>
      <c r="L77">
        <v>5</v>
      </c>
      <c r="M77">
        <v>7</v>
      </c>
      <c r="N77">
        <v>3</v>
      </c>
      <c r="O77">
        <v>4</v>
      </c>
      <c r="P77">
        <v>5</v>
      </c>
      <c r="Q77">
        <v>5</v>
      </c>
      <c r="R77">
        <v>5</v>
      </c>
      <c r="S77">
        <v>3</v>
      </c>
      <c r="T77">
        <v>4</v>
      </c>
      <c r="U77">
        <v>5</v>
      </c>
      <c r="V77">
        <v>83</v>
      </c>
      <c r="W77">
        <v>-3</v>
      </c>
      <c r="X77" t="s">
        <v>69</v>
      </c>
      <c r="Y77">
        <v>2</v>
      </c>
    </row>
    <row r="78" spans="1:25" x14ac:dyDescent="0.25">
      <c r="A78" t="s">
        <v>51</v>
      </c>
      <c r="B78">
        <v>15</v>
      </c>
      <c r="C78">
        <v>2</v>
      </c>
      <c r="D78">
        <v>5</v>
      </c>
      <c r="E78">
        <v>4</v>
      </c>
      <c r="F78">
        <v>4</v>
      </c>
      <c r="G78">
        <v>6</v>
      </c>
      <c r="H78">
        <v>6</v>
      </c>
      <c r="I78">
        <v>5</v>
      </c>
      <c r="J78">
        <v>3</v>
      </c>
      <c r="K78">
        <v>4</v>
      </c>
      <c r="L78">
        <v>5</v>
      </c>
      <c r="M78">
        <v>7</v>
      </c>
      <c r="N78">
        <v>3</v>
      </c>
      <c r="O78">
        <v>4</v>
      </c>
      <c r="P78">
        <v>5</v>
      </c>
      <c r="Q78">
        <v>5</v>
      </c>
      <c r="R78">
        <v>5</v>
      </c>
      <c r="S78">
        <v>3</v>
      </c>
      <c r="T78">
        <v>4</v>
      </c>
      <c r="U78">
        <v>5</v>
      </c>
      <c r="V78">
        <v>83</v>
      </c>
      <c r="W78">
        <v>-3</v>
      </c>
      <c r="X78" t="s">
        <v>89</v>
      </c>
      <c r="Y78">
        <v>0</v>
      </c>
    </row>
    <row r="79" spans="1:25" x14ac:dyDescent="0.25">
      <c r="A79" t="s">
        <v>34</v>
      </c>
      <c r="B79">
        <v>12</v>
      </c>
      <c r="C79">
        <v>2</v>
      </c>
      <c r="D79">
        <v>7</v>
      </c>
      <c r="E79">
        <v>4</v>
      </c>
      <c r="F79">
        <v>4</v>
      </c>
      <c r="G79">
        <v>3</v>
      </c>
      <c r="H79">
        <v>4</v>
      </c>
      <c r="I79">
        <v>4</v>
      </c>
      <c r="J79">
        <v>5</v>
      </c>
      <c r="K79">
        <v>3</v>
      </c>
      <c r="L79">
        <v>5</v>
      </c>
      <c r="M79">
        <v>5</v>
      </c>
      <c r="N79">
        <v>3</v>
      </c>
      <c r="O79">
        <v>5</v>
      </c>
      <c r="P79">
        <v>6</v>
      </c>
      <c r="Q79">
        <v>5</v>
      </c>
      <c r="R79">
        <v>5</v>
      </c>
      <c r="S79">
        <v>3</v>
      </c>
      <c r="T79">
        <v>7</v>
      </c>
      <c r="U79">
        <v>6</v>
      </c>
      <c r="V79">
        <v>84</v>
      </c>
      <c r="W79">
        <v>1</v>
      </c>
      <c r="X79" t="s">
        <v>66</v>
      </c>
      <c r="Y79">
        <v>7</v>
      </c>
    </row>
    <row r="80" spans="1:25" x14ac:dyDescent="0.25">
      <c r="A80" t="s">
        <v>34</v>
      </c>
      <c r="B80">
        <v>12</v>
      </c>
      <c r="C80">
        <v>2</v>
      </c>
      <c r="D80">
        <v>7</v>
      </c>
      <c r="E80">
        <v>4</v>
      </c>
      <c r="F80">
        <v>4</v>
      </c>
      <c r="G80">
        <v>3</v>
      </c>
      <c r="H80">
        <v>4</v>
      </c>
      <c r="I80">
        <v>4</v>
      </c>
      <c r="J80">
        <v>5</v>
      </c>
      <c r="K80">
        <v>3</v>
      </c>
      <c r="L80">
        <v>5</v>
      </c>
      <c r="M80">
        <v>5</v>
      </c>
      <c r="N80">
        <v>3</v>
      </c>
      <c r="O80">
        <v>5</v>
      </c>
      <c r="P80">
        <v>6</v>
      </c>
      <c r="Q80">
        <v>5</v>
      </c>
      <c r="R80">
        <v>5</v>
      </c>
      <c r="S80">
        <v>3</v>
      </c>
      <c r="T80">
        <v>7</v>
      </c>
      <c r="U80">
        <v>6</v>
      </c>
      <c r="V80">
        <v>84</v>
      </c>
      <c r="W80">
        <v>1</v>
      </c>
      <c r="X80" t="s">
        <v>65</v>
      </c>
      <c r="Y80">
        <v>2</v>
      </c>
    </row>
    <row r="81" spans="1:25" x14ac:dyDescent="0.25">
      <c r="A81" t="s">
        <v>34</v>
      </c>
      <c r="B81">
        <v>12</v>
      </c>
      <c r="C81">
        <v>2</v>
      </c>
      <c r="D81">
        <v>7</v>
      </c>
      <c r="E81">
        <v>4</v>
      </c>
      <c r="F81">
        <v>4</v>
      </c>
      <c r="G81">
        <v>3</v>
      </c>
      <c r="H81">
        <v>4</v>
      </c>
      <c r="I81">
        <v>4</v>
      </c>
      <c r="J81">
        <v>5</v>
      </c>
      <c r="K81">
        <v>3</v>
      </c>
      <c r="L81">
        <v>5</v>
      </c>
      <c r="M81">
        <v>5</v>
      </c>
      <c r="N81">
        <v>3</v>
      </c>
      <c r="O81">
        <v>5</v>
      </c>
      <c r="P81">
        <v>6</v>
      </c>
      <c r="Q81">
        <v>5</v>
      </c>
      <c r="R81">
        <v>5</v>
      </c>
      <c r="S81">
        <v>3</v>
      </c>
      <c r="T81">
        <v>7</v>
      </c>
      <c r="U81">
        <v>6</v>
      </c>
      <c r="V81">
        <v>84</v>
      </c>
      <c r="W81">
        <v>1</v>
      </c>
      <c r="X81" t="s">
        <v>64</v>
      </c>
      <c r="Y81">
        <v>0</v>
      </c>
    </row>
    <row r="82" spans="1:25" x14ac:dyDescent="0.25">
      <c r="A82" t="s">
        <v>34</v>
      </c>
      <c r="B82">
        <v>12</v>
      </c>
      <c r="C82">
        <v>2</v>
      </c>
      <c r="D82">
        <v>7</v>
      </c>
      <c r="E82">
        <v>4</v>
      </c>
      <c r="F82">
        <v>4</v>
      </c>
      <c r="G82">
        <v>3</v>
      </c>
      <c r="H82">
        <v>4</v>
      </c>
      <c r="I82">
        <v>4</v>
      </c>
      <c r="J82">
        <v>5</v>
      </c>
      <c r="K82">
        <v>3</v>
      </c>
      <c r="L82">
        <v>5</v>
      </c>
      <c r="M82">
        <v>5</v>
      </c>
      <c r="N82">
        <v>3</v>
      </c>
      <c r="O82">
        <v>5</v>
      </c>
      <c r="P82">
        <v>6</v>
      </c>
      <c r="Q82">
        <v>5</v>
      </c>
      <c r="R82">
        <v>5</v>
      </c>
      <c r="S82">
        <v>3</v>
      </c>
      <c r="T82">
        <v>7</v>
      </c>
      <c r="U82">
        <v>6</v>
      </c>
      <c r="V82">
        <v>84</v>
      </c>
      <c r="W82">
        <v>1</v>
      </c>
      <c r="X82" t="s">
        <v>67</v>
      </c>
      <c r="Y82">
        <v>4</v>
      </c>
    </row>
    <row r="83" spans="1:25" x14ac:dyDescent="0.25">
      <c r="A83" t="s">
        <v>34</v>
      </c>
      <c r="B83">
        <v>12</v>
      </c>
      <c r="C83">
        <v>2</v>
      </c>
      <c r="D83">
        <v>7</v>
      </c>
      <c r="E83">
        <v>4</v>
      </c>
      <c r="F83">
        <v>4</v>
      </c>
      <c r="G83">
        <v>3</v>
      </c>
      <c r="H83">
        <v>4</v>
      </c>
      <c r="I83">
        <v>4</v>
      </c>
      <c r="J83">
        <v>5</v>
      </c>
      <c r="K83">
        <v>3</v>
      </c>
      <c r="L83">
        <v>5</v>
      </c>
      <c r="M83">
        <v>5</v>
      </c>
      <c r="N83">
        <v>3</v>
      </c>
      <c r="O83">
        <v>5</v>
      </c>
      <c r="P83">
        <v>6</v>
      </c>
      <c r="Q83">
        <v>5</v>
      </c>
      <c r="R83">
        <v>5</v>
      </c>
      <c r="S83">
        <v>3</v>
      </c>
      <c r="T83">
        <v>7</v>
      </c>
      <c r="U83">
        <v>6</v>
      </c>
      <c r="V83">
        <v>84</v>
      </c>
      <c r="W83">
        <v>1</v>
      </c>
      <c r="X83" t="s">
        <v>88</v>
      </c>
      <c r="Y83">
        <v>4</v>
      </c>
    </row>
    <row r="84" spans="1:25" x14ac:dyDescent="0.25">
      <c r="A84" t="s">
        <v>34</v>
      </c>
      <c r="B84">
        <v>12</v>
      </c>
      <c r="C84">
        <v>2</v>
      </c>
      <c r="D84">
        <v>7</v>
      </c>
      <c r="E84">
        <v>4</v>
      </c>
      <c r="F84">
        <v>4</v>
      </c>
      <c r="G84">
        <v>3</v>
      </c>
      <c r="H84">
        <v>4</v>
      </c>
      <c r="I84">
        <v>4</v>
      </c>
      <c r="J84">
        <v>5</v>
      </c>
      <c r="K84">
        <v>3</v>
      </c>
      <c r="L84">
        <v>5</v>
      </c>
      <c r="M84">
        <v>5</v>
      </c>
      <c r="N84">
        <v>3</v>
      </c>
      <c r="O84">
        <v>5</v>
      </c>
      <c r="P84">
        <v>6</v>
      </c>
      <c r="Q84">
        <v>5</v>
      </c>
      <c r="R84">
        <v>5</v>
      </c>
      <c r="S84">
        <v>3</v>
      </c>
      <c r="T84">
        <v>7</v>
      </c>
      <c r="U84">
        <v>6</v>
      </c>
      <c r="V84">
        <v>84</v>
      </c>
      <c r="W84">
        <v>1</v>
      </c>
      <c r="X84" t="s">
        <v>69</v>
      </c>
      <c r="Y84">
        <v>1</v>
      </c>
    </row>
    <row r="85" spans="1:25" x14ac:dyDescent="0.25">
      <c r="A85" t="s">
        <v>34</v>
      </c>
      <c r="B85">
        <v>12</v>
      </c>
      <c r="C85">
        <v>2</v>
      </c>
      <c r="D85">
        <v>7</v>
      </c>
      <c r="E85">
        <v>4</v>
      </c>
      <c r="F85">
        <v>4</v>
      </c>
      <c r="G85">
        <v>3</v>
      </c>
      <c r="H85">
        <v>4</v>
      </c>
      <c r="I85">
        <v>4</v>
      </c>
      <c r="J85">
        <v>5</v>
      </c>
      <c r="K85">
        <v>3</v>
      </c>
      <c r="L85">
        <v>5</v>
      </c>
      <c r="M85">
        <v>5</v>
      </c>
      <c r="N85">
        <v>3</v>
      </c>
      <c r="O85">
        <v>5</v>
      </c>
      <c r="P85">
        <v>6</v>
      </c>
      <c r="Q85">
        <v>5</v>
      </c>
      <c r="R85">
        <v>5</v>
      </c>
      <c r="S85">
        <v>3</v>
      </c>
      <c r="T85">
        <v>7</v>
      </c>
      <c r="U85">
        <v>6</v>
      </c>
      <c r="V85">
        <v>84</v>
      </c>
      <c r="W85">
        <v>1</v>
      </c>
      <c r="X85" t="s">
        <v>89</v>
      </c>
      <c r="Y85">
        <v>0</v>
      </c>
    </row>
    <row r="86" spans="1:25" x14ac:dyDescent="0.25">
      <c r="A86" t="s">
        <v>39</v>
      </c>
      <c r="B86">
        <v>16</v>
      </c>
      <c r="C86">
        <v>1</v>
      </c>
      <c r="D86">
        <v>6</v>
      </c>
      <c r="E86">
        <v>5</v>
      </c>
      <c r="F86">
        <v>4</v>
      </c>
      <c r="G86">
        <v>4</v>
      </c>
      <c r="H86">
        <v>4</v>
      </c>
      <c r="I86">
        <v>5</v>
      </c>
      <c r="J86">
        <v>6</v>
      </c>
      <c r="K86">
        <v>4</v>
      </c>
      <c r="L86">
        <v>6</v>
      </c>
      <c r="M86">
        <v>6</v>
      </c>
      <c r="N86">
        <v>4</v>
      </c>
      <c r="O86">
        <v>3</v>
      </c>
      <c r="P86">
        <v>4</v>
      </c>
      <c r="Q86">
        <v>5</v>
      </c>
      <c r="R86">
        <v>4</v>
      </c>
      <c r="S86">
        <v>2</v>
      </c>
      <c r="T86">
        <v>5</v>
      </c>
      <c r="U86">
        <v>8</v>
      </c>
      <c r="V86">
        <v>85</v>
      </c>
      <c r="W86">
        <v>-2</v>
      </c>
      <c r="X86" t="s">
        <v>66</v>
      </c>
      <c r="Y86">
        <v>7</v>
      </c>
    </row>
    <row r="87" spans="1:25" x14ac:dyDescent="0.25">
      <c r="A87" t="s">
        <v>39</v>
      </c>
      <c r="B87">
        <v>16</v>
      </c>
      <c r="C87">
        <v>1</v>
      </c>
      <c r="D87">
        <v>6</v>
      </c>
      <c r="E87">
        <v>5</v>
      </c>
      <c r="F87">
        <v>4</v>
      </c>
      <c r="G87">
        <v>4</v>
      </c>
      <c r="H87">
        <v>4</v>
      </c>
      <c r="I87">
        <v>5</v>
      </c>
      <c r="J87">
        <v>6</v>
      </c>
      <c r="K87">
        <v>4</v>
      </c>
      <c r="L87">
        <v>6</v>
      </c>
      <c r="M87">
        <v>6</v>
      </c>
      <c r="N87">
        <v>4</v>
      </c>
      <c r="O87">
        <v>3</v>
      </c>
      <c r="P87">
        <v>4</v>
      </c>
      <c r="Q87">
        <v>5</v>
      </c>
      <c r="R87">
        <v>4</v>
      </c>
      <c r="S87">
        <v>2</v>
      </c>
      <c r="T87">
        <v>5</v>
      </c>
      <c r="U87">
        <v>8</v>
      </c>
      <c r="V87">
        <v>85</v>
      </c>
      <c r="W87">
        <v>-2</v>
      </c>
      <c r="X87" t="s">
        <v>65</v>
      </c>
      <c r="Y87">
        <v>2</v>
      </c>
    </row>
    <row r="88" spans="1:25" x14ac:dyDescent="0.25">
      <c r="A88" t="s">
        <v>39</v>
      </c>
      <c r="B88">
        <v>16</v>
      </c>
      <c r="C88">
        <v>1</v>
      </c>
      <c r="D88">
        <v>6</v>
      </c>
      <c r="E88">
        <v>5</v>
      </c>
      <c r="F88">
        <v>4</v>
      </c>
      <c r="G88">
        <v>4</v>
      </c>
      <c r="H88">
        <v>4</v>
      </c>
      <c r="I88">
        <v>5</v>
      </c>
      <c r="J88">
        <v>6</v>
      </c>
      <c r="K88">
        <v>4</v>
      </c>
      <c r="L88">
        <v>6</v>
      </c>
      <c r="M88">
        <v>6</v>
      </c>
      <c r="N88">
        <v>4</v>
      </c>
      <c r="O88">
        <v>3</v>
      </c>
      <c r="P88">
        <v>4</v>
      </c>
      <c r="Q88">
        <v>5</v>
      </c>
      <c r="R88">
        <v>4</v>
      </c>
      <c r="S88">
        <v>2</v>
      </c>
      <c r="T88">
        <v>5</v>
      </c>
      <c r="U88">
        <v>8</v>
      </c>
      <c r="V88">
        <v>85</v>
      </c>
      <c r="W88">
        <v>-2</v>
      </c>
      <c r="X88" t="s">
        <v>64</v>
      </c>
      <c r="Y88">
        <v>0</v>
      </c>
    </row>
    <row r="89" spans="1:25" x14ac:dyDescent="0.25">
      <c r="A89" t="s">
        <v>39</v>
      </c>
      <c r="B89">
        <v>16</v>
      </c>
      <c r="C89">
        <v>1</v>
      </c>
      <c r="D89">
        <v>6</v>
      </c>
      <c r="E89">
        <v>5</v>
      </c>
      <c r="F89">
        <v>4</v>
      </c>
      <c r="G89">
        <v>4</v>
      </c>
      <c r="H89">
        <v>4</v>
      </c>
      <c r="I89">
        <v>5</v>
      </c>
      <c r="J89">
        <v>6</v>
      </c>
      <c r="K89">
        <v>4</v>
      </c>
      <c r="L89">
        <v>6</v>
      </c>
      <c r="M89">
        <v>6</v>
      </c>
      <c r="N89">
        <v>4</v>
      </c>
      <c r="O89">
        <v>3</v>
      </c>
      <c r="P89">
        <v>4</v>
      </c>
      <c r="Q89">
        <v>5</v>
      </c>
      <c r="R89">
        <v>4</v>
      </c>
      <c r="S89">
        <v>2</v>
      </c>
      <c r="T89">
        <v>5</v>
      </c>
      <c r="U89">
        <v>8</v>
      </c>
      <c r="V89">
        <v>85</v>
      </c>
      <c r="W89">
        <v>-2</v>
      </c>
      <c r="X89" t="s">
        <v>67</v>
      </c>
      <c r="Y89">
        <v>5</v>
      </c>
    </row>
    <row r="90" spans="1:25" x14ac:dyDescent="0.25">
      <c r="A90" t="s">
        <v>39</v>
      </c>
      <c r="B90">
        <v>16</v>
      </c>
      <c r="C90">
        <v>1</v>
      </c>
      <c r="D90">
        <v>6</v>
      </c>
      <c r="E90">
        <v>5</v>
      </c>
      <c r="F90">
        <v>4</v>
      </c>
      <c r="G90">
        <v>4</v>
      </c>
      <c r="H90">
        <v>4</v>
      </c>
      <c r="I90">
        <v>5</v>
      </c>
      <c r="J90">
        <v>6</v>
      </c>
      <c r="K90">
        <v>4</v>
      </c>
      <c r="L90">
        <v>6</v>
      </c>
      <c r="M90">
        <v>6</v>
      </c>
      <c r="N90">
        <v>4</v>
      </c>
      <c r="O90">
        <v>3</v>
      </c>
      <c r="P90">
        <v>4</v>
      </c>
      <c r="Q90">
        <v>5</v>
      </c>
      <c r="R90">
        <v>4</v>
      </c>
      <c r="S90">
        <v>2</v>
      </c>
      <c r="T90">
        <v>5</v>
      </c>
      <c r="U90">
        <v>8</v>
      </c>
      <c r="V90">
        <v>85</v>
      </c>
      <c r="W90">
        <v>-2</v>
      </c>
      <c r="X90" t="s">
        <v>88</v>
      </c>
      <c r="Y90">
        <v>2</v>
      </c>
    </row>
    <row r="91" spans="1:25" x14ac:dyDescent="0.25">
      <c r="A91" t="s">
        <v>39</v>
      </c>
      <c r="B91">
        <v>16</v>
      </c>
      <c r="C91">
        <v>1</v>
      </c>
      <c r="D91">
        <v>6</v>
      </c>
      <c r="E91">
        <v>5</v>
      </c>
      <c r="F91">
        <v>4</v>
      </c>
      <c r="G91">
        <v>4</v>
      </c>
      <c r="H91">
        <v>4</v>
      </c>
      <c r="I91">
        <v>5</v>
      </c>
      <c r="J91">
        <v>6</v>
      </c>
      <c r="K91">
        <v>4</v>
      </c>
      <c r="L91">
        <v>6</v>
      </c>
      <c r="M91">
        <v>6</v>
      </c>
      <c r="N91">
        <v>4</v>
      </c>
      <c r="O91">
        <v>3</v>
      </c>
      <c r="P91">
        <v>4</v>
      </c>
      <c r="Q91">
        <v>5</v>
      </c>
      <c r="R91">
        <v>4</v>
      </c>
      <c r="S91">
        <v>2</v>
      </c>
      <c r="T91">
        <v>5</v>
      </c>
      <c r="U91">
        <v>8</v>
      </c>
      <c r="V91">
        <v>85</v>
      </c>
      <c r="W91">
        <v>-2</v>
      </c>
      <c r="X91" t="s">
        <v>69</v>
      </c>
      <c r="Y91">
        <v>1</v>
      </c>
    </row>
    <row r="92" spans="1:25" x14ac:dyDescent="0.25">
      <c r="A92" t="s">
        <v>39</v>
      </c>
      <c r="B92">
        <v>16</v>
      </c>
      <c r="C92">
        <v>1</v>
      </c>
      <c r="D92">
        <v>6</v>
      </c>
      <c r="E92">
        <v>5</v>
      </c>
      <c r="F92">
        <v>4</v>
      </c>
      <c r="G92">
        <v>4</v>
      </c>
      <c r="H92">
        <v>4</v>
      </c>
      <c r="I92">
        <v>5</v>
      </c>
      <c r="J92">
        <v>6</v>
      </c>
      <c r="K92">
        <v>4</v>
      </c>
      <c r="L92">
        <v>6</v>
      </c>
      <c r="M92">
        <v>6</v>
      </c>
      <c r="N92">
        <v>4</v>
      </c>
      <c r="O92">
        <v>3</v>
      </c>
      <c r="P92">
        <v>4</v>
      </c>
      <c r="Q92">
        <v>5</v>
      </c>
      <c r="R92">
        <v>4</v>
      </c>
      <c r="S92">
        <v>2</v>
      </c>
      <c r="T92">
        <v>5</v>
      </c>
      <c r="U92">
        <v>8</v>
      </c>
      <c r="V92">
        <v>85</v>
      </c>
      <c r="W92">
        <v>-2</v>
      </c>
      <c r="X92" t="s">
        <v>89</v>
      </c>
      <c r="Y92">
        <v>1</v>
      </c>
    </row>
    <row r="93" spans="1:25" x14ac:dyDescent="0.25">
      <c r="A93" t="s">
        <v>28</v>
      </c>
      <c r="B93">
        <v>18</v>
      </c>
      <c r="C93">
        <v>1</v>
      </c>
      <c r="D93">
        <v>6</v>
      </c>
      <c r="E93">
        <v>6</v>
      </c>
      <c r="F93">
        <v>4</v>
      </c>
      <c r="G93">
        <v>4</v>
      </c>
      <c r="H93">
        <v>3</v>
      </c>
      <c r="I93">
        <v>4</v>
      </c>
      <c r="J93">
        <v>4</v>
      </c>
      <c r="K93">
        <v>5</v>
      </c>
      <c r="L93">
        <v>5</v>
      </c>
      <c r="M93">
        <v>5</v>
      </c>
      <c r="N93">
        <v>3</v>
      </c>
      <c r="O93">
        <v>4</v>
      </c>
      <c r="P93">
        <v>4</v>
      </c>
      <c r="Q93">
        <v>6</v>
      </c>
      <c r="R93">
        <v>8</v>
      </c>
      <c r="S93">
        <v>4</v>
      </c>
      <c r="T93">
        <v>4</v>
      </c>
      <c r="U93">
        <v>6</v>
      </c>
      <c r="V93">
        <v>85</v>
      </c>
      <c r="W93">
        <v>-4</v>
      </c>
      <c r="X93" t="s">
        <v>66</v>
      </c>
      <c r="Y93">
        <v>5</v>
      </c>
    </row>
    <row r="94" spans="1:25" x14ac:dyDescent="0.25">
      <c r="A94" t="s">
        <v>28</v>
      </c>
      <c r="B94">
        <v>18</v>
      </c>
      <c r="C94">
        <v>1</v>
      </c>
      <c r="D94">
        <v>6</v>
      </c>
      <c r="E94">
        <v>6</v>
      </c>
      <c r="F94">
        <v>4</v>
      </c>
      <c r="G94">
        <v>4</v>
      </c>
      <c r="H94">
        <v>3</v>
      </c>
      <c r="I94">
        <v>4</v>
      </c>
      <c r="J94">
        <v>4</v>
      </c>
      <c r="K94">
        <v>5</v>
      </c>
      <c r="L94">
        <v>5</v>
      </c>
      <c r="M94">
        <v>5</v>
      </c>
      <c r="N94">
        <v>3</v>
      </c>
      <c r="O94">
        <v>4</v>
      </c>
      <c r="P94">
        <v>4</v>
      </c>
      <c r="Q94">
        <v>6</v>
      </c>
      <c r="R94">
        <v>8</v>
      </c>
      <c r="S94">
        <v>4</v>
      </c>
      <c r="T94">
        <v>4</v>
      </c>
      <c r="U94">
        <v>6</v>
      </c>
      <c r="V94">
        <v>85</v>
      </c>
      <c r="W94">
        <v>-4</v>
      </c>
      <c r="X94" t="s">
        <v>65</v>
      </c>
      <c r="Y94">
        <v>2</v>
      </c>
    </row>
    <row r="95" spans="1:25" x14ac:dyDescent="0.25">
      <c r="A95" t="s">
        <v>28</v>
      </c>
      <c r="B95">
        <v>18</v>
      </c>
      <c r="C95">
        <v>1</v>
      </c>
      <c r="D95">
        <v>6</v>
      </c>
      <c r="E95">
        <v>6</v>
      </c>
      <c r="F95">
        <v>4</v>
      </c>
      <c r="G95">
        <v>4</v>
      </c>
      <c r="H95">
        <v>3</v>
      </c>
      <c r="I95">
        <v>4</v>
      </c>
      <c r="J95">
        <v>4</v>
      </c>
      <c r="K95">
        <v>5</v>
      </c>
      <c r="L95">
        <v>5</v>
      </c>
      <c r="M95">
        <v>5</v>
      </c>
      <c r="N95">
        <v>3</v>
      </c>
      <c r="O95">
        <v>4</v>
      </c>
      <c r="P95">
        <v>4</v>
      </c>
      <c r="Q95">
        <v>6</v>
      </c>
      <c r="R95">
        <v>8</v>
      </c>
      <c r="S95">
        <v>4</v>
      </c>
      <c r="T95">
        <v>4</v>
      </c>
      <c r="U95">
        <v>6</v>
      </c>
      <c r="V95">
        <v>85</v>
      </c>
      <c r="W95">
        <v>-4</v>
      </c>
      <c r="X95" t="s">
        <v>64</v>
      </c>
      <c r="Y95">
        <v>0</v>
      </c>
    </row>
    <row r="96" spans="1:25" x14ac:dyDescent="0.25">
      <c r="A96" t="s">
        <v>28</v>
      </c>
      <c r="B96">
        <v>18</v>
      </c>
      <c r="C96">
        <v>1</v>
      </c>
      <c r="D96">
        <v>6</v>
      </c>
      <c r="E96">
        <v>6</v>
      </c>
      <c r="F96">
        <v>4</v>
      </c>
      <c r="G96">
        <v>4</v>
      </c>
      <c r="H96">
        <v>3</v>
      </c>
      <c r="I96">
        <v>4</v>
      </c>
      <c r="J96">
        <v>4</v>
      </c>
      <c r="K96">
        <v>5</v>
      </c>
      <c r="L96">
        <v>5</v>
      </c>
      <c r="M96">
        <v>5</v>
      </c>
      <c r="N96">
        <v>3</v>
      </c>
      <c r="O96">
        <v>4</v>
      </c>
      <c r="P96">
        <v>4</v>
      </c>
      <c r="Q96">
        <v>6</v>
      </c>
      <c r="R96">
        <v>8</v>
      </c>
      <c r="S96">
        <v>4</v>
      </c>
      <c r="T96">
        <v>4</v>
      </c>
      <c r="U96">
        <v>6</v>
      </c>
      <c r="V96">
        <v>85</v>
      </c>
      <c r="W96">
        <v>-4</v>
      </c>
      <c r="X96" t="s">
        <v>67</v>
      </c>
      <c r="Y96">
        <v>8</v>
      </c>
    </row>
    <row r="97" spans="1:25" x14ac:dyDescent="0.25">
      <c r="A97" t="s">
        <v>28</v>
      </c>
      <c r="B97">
        <v>18</v>
      </c>
      <c r="C97">
        <v>1</v>
      </c>
      <c r="D97">
        <v>6</v>
      </c>
      <c r="E97">
        <v>6</v>
      </c>
      <c r="F97">
        <v>4</v>
      </c>
      <c r="G97">
        <v>4</v>
      </c>
      <c r="H97">
        <v>3</v>
      </c>
      <c r="I97">
        <v>4</v>
      </c>
      <c r="J97">
        <v>4</v>
      </c>
      <c r="K97">
        <v>5</v>
      </c>
      <c r="L97">
        <v>5</v>
      </c>
      <c r="M97">
        <v>5</v>
      </c>
      <c r="N97">
        <v>3</v>
      </c>
      <c r="O97">
        <v>4</v>
      </c>
      <c r="P97">
        <v>4</v>
      </c>
      <c r="Q97">
        <v>6</v>
      </c>
      <c r="R97">
        <v>8</v>
      </c>
      <c r="S97">
        <v>4</v>
      </c>
      <c r="T97">
        <v>4</v>
      </c>
      <c r="U97">
        <v>6</v>
      </c>
      <c r="V97">
        <v>85</v>
      </c>
      <c r="W97">
        <v>-4</v>
      </c>
      <c r="X97" t="s">
        <v>88</v>
      </c>
      <c r="Y97">
        <v>2</v>
      </c>
    </row>
    <row r="98" spans="1:25" x14ac:dyDescent="0.25">
      <c r="A98" t="s">
        <v>28</v>
      </c>
      <c r="B98">
        <v>18</v>
      </c>
      <c r="C98">
        <v>1</v>
      </c>
      <c r="D98">
        <v>6</v>
      </c>
      <c r="E98">
        <v>6</v>
      </c>
      <c r="F98">
        <v>4</v>
      </c>
      <c r="G98">
        <v>4</v>
      </c>
      <c r="H98">
        <v>3</v>
      </c>
      <c r="I98">
        <v>4</v>
      </c>
      <c r="J98">
        <v>4</v>
      </c>
      <c r="K98">
        <v>5</v>
      </c>
      <c r="L98">
        <v>5</v>
      </c>
      <c r="M98">
        <v>5</v>
      </c>
      <c r="N98">
        <v>3</v>
      </c>
      <c r="O98">
        <v>4</v>
      </c>
      <c r="P98">
        <v>4</v>
      </c>
      <c r="Q98">
        <v>6</v>
      </c>
      <c r="R98">
        <v>8</v>
      </c>
      <c r="S98">
        <v>4</v>
      </c>
      <c r="T98">
        <v>4</v>
      </c>
      <c r="U98">
        <v>6</v>
      </c>
      <c r="V98">
        <v>85</v>
      </c>
      <c r="W98">
        <v>-4</v>
      </c>
      <c r="X98" t="s">
        <v>69</v>
      </c>
      <c r="Y98">
        <v>0</v>
      </c>
    </row>
    <row r="99" spans="1:25" x14ac:dyDescent="0.25">
      <c r="A99" t="s">
        <v>28</v>
      </c>
      <c r="B99">
        <v>18</v>
      </c>
      <c r="C99">
        <v>1</v>
      </c>
      <c r="D99">
        <v>6</v>
      </c>
      <c r="E99">
        <v>6</v>
      </c>
      <c r="F99">
        <v>4</v>
      </c>
      <c r="G99">
        <v>4</v>
      </c>
      <c r="H99">
        <v>3</v>
      </c>
      <c r="I99">
        <v>4</v>
      </c>
      <c r="J99">
        <v>4</v>
      </c>
      <c r="K99">
        <v>5</v>
      </c>
      <c r="L99">
        <v>5</v>
      </c>
      <c r="M99">
        <v>5</v>
      </c>
      <c r="N99">
        <v>3</v>
      </c>
      <c r="O99">
        <v>4</v>
      </c>
      <c r="P99">
        <v>4</v>
      </c>
      <c r="Q99">
        <v>6</v>
      </c>
      <c r="R99">
        <v>8</v>
      </c>
      <c r="S99">
        <v>4</v>
      </c>
      <c r="T99">
        <v>4</v>
      </c>
      <c r="U99">
        <v>6</v>
      </c>
      <c r="V99">
        <v>85</v>
      </c>
      <c r="W99">
        <v>-4</v>
      </c>
      <c r="X99" t="s">
        <v>89</v>
      </c>
      <c r="Y99">
        <v>1</v>
      </c>
    </row>
    <row r="100" spans="1:25" x14ac:dyDescent="0.25">
      <c r="A100" t="s">
        <v>36</v>
      </c>
      <c r="B100">
        <v>14</v>
      </c>
      <c r="C100">
        <v>1</v>
      </c>
      <c r="D100">
        <v>5</v>
      </c>
      <c r="E100">
        <v>6</v>
      </c>
      <c r="F100">
        <v>5</v>
      </c>
      <c r="G100">
        <v>4</v>
      </c>
      <c r="H100">
        <v>4</v>
      </c>
      <c r="I100">
        <v>4</v>
      </c>
      <c r="J100">
        <v>4</v>
      </c>
      <c r="K100">
        <v>6</v>
      </c>
      <c r="L100">
        <v>5</v>
      </c>
      <c r="M100">
        <v>5</v>
      </c>
      <c r="N100">
        <v>5</v>
      </c>
      <c r="O100">
        <v>6</v>
      </c>
      <c r="P100">
        <v>6</v>
      </c>
      <c r="Q100">
        <v>4</v>
      </c>
      <c r="R100">
        <v>4</v>
      </c>
      <c r="S100">
        <v>4</v>
      </c>
      <c r="T100">
        <v>4</v>
      </c>
      <c r="U100">
        <v>5</v>
      </c>
      <c r="V100">
        <v>86</v>
      </c>
      <c r="W100">
        <v>1</v>
      </c>
      <c r="X100" t="s">
        <v>66</v>
      </c>
      <c r="Y100">
        <v>4</v>
      </c>
    </row>
    <row r="101" spans="1:25" x14ac:dyDescent="0.25">
      <c r="A101" t="s">
        <v>36</v>
      </c>
      <c r="B101">
        <v>14</v>
      </c>
      <c r="C101">
        <v>1</v>
      </c>
      <c r="D101">
        <v>5</v>
      </c>
      <c r="E101">
        <v>6</v>
      </c>
      <c r="F101">
        <v>5</v>
      </c>
      <c r="G101">
        <v>4</v>
      </c>
      <c r="H101">
        <v>4</v>
      </c>
      <c r="I101">
        <v>4</v>
      </c>
      <c r="J101">
        <v>4</v>
      </c>
      <c r="K101">
        <v>6</v>
      </c>
      <c r="L101">
        <v>5</v>
      </c>
      <c r="M101">
        <v>5</v>
      </c>
      <c r="N101">
        <v>5</v>
      </c>
      <c r="O101">
        <v>6</v>
      </c>
      <c r="P101">
        <v>6</v>
      </c>
      <c r="Q101">
        <v>4</v>
      </c>
      <c r="R101">
        <v>4</v>
      </c>
      <c r="S101">
        <v>4</v>
      </c>
      <c r="T101">
        <v>4</v>
      </c>
      <c r="U101">
        <v>5</v>
      </c>
      <c r="V101">
        <v>86</v>
      </c>
      <c r="W101">
        <v>1</v>
      </c>
      <c r="X101" t="s">
        <v>65</v>
      </c>
      <c r="Y101">
        <v>2</v>
      </c>
    </row>
    <row r="102" spans="1:25" x14ac:dyDescent="0.25">
      <c r="A102" t="s">
        <v>36</v>
      </c>
      <c r="B102">
        <v>14</v>
      </c>
      <c r="C102">
        <v>1</v>
      </c>
      <c r="D102">
        <v>5</v>
      </c>
      <c r="E102">
        <v>6</v>
      </c>
      <c r="F102">
        <v>5</v>
      </c>
      <c r="G102">
        <v>4</v>
      </c>
      <c r="H102">
        <v>4</v>
      </c>
      <c r="I102">
        <v>4</v>
      </c>
      <c r="J102">
        <v>4</v>
      </c>
      <c r="K102">
        <v>6</v>
      </c>
      <c r="L102">
        <v>5</v>
      </c>
      <c r="M102">
        <v>5</v>
      </c>
      <c r="N102">
        <v>5</v>
      </c>
      <c r="O102">
        <v>6</v>
      </c>
      <c r="P102">
        <v>6</v>
      </c>
      <c r="Q102">
        <v>4</v>
      </c>
      <c r="R102">
        <v>4</v>
      </c>
      <c r="S102">
        <v>4</v>
      </c>
      <c r="T102">
        <v>4</v>
      </c>
      <c r="U102">
        <v>5</v>
      </c>
      <c r="V102">
        <v>86</v>
      </c>
      <c r="W102">
        <v>1</v>
      </c>
      <c r="X102" t="s">
        <v>64</v>
      </c>
      <c r="Y102">
        <v>0</v>
      </c>
    </row>
    <row r="103" spans="1:25" x14ac:dyDescent="0.25">
      <c r="A103" t="s">
        <v>36</v>
      </c>
      <c r="B103">
        <v>14</v>
      </c>
      <c r="C103">
        <v>1</v>
      </c>
      <c r="D103">
        <v>5</v>
      </c>
      <c r="E103">
        <v>6</v>
      </c>
      <c r="F103">
        <v>5</v>
      </c>
      <c r="G103">
        <v>4</v>
      </c>
      <c r="H103">
        <v>4</v>
      </c>
      <c r="I103">
        <v>4</v>
      </c>
      <c r="J103">
        <v>4</v>
      </c>
      <c r="K103">
        <v>6</v>
      </c>
      <c r="L103">
        <v>5</v>
      </c>
      <c r="M103">
        <v>5</v>
      </c>
      <c r="N103">
        <v>5</v>
      </c>
      <c r="O103">
        <v>6</v>
      </c>
      <c r="P103">
        <v>6</v>
      </c>
      <c r="Q103">
        <v>4</v>
      </c>
      <c r="R103">
        <v>4</v>
      </c>
      <c r="S103">
        <v>4</v>
      </c>
      <c r="T103">
        <v>4</v>
      </c>
      <c r="U103">
        <v>5</v>
      </c>
      <c r="V103">
        <v>86</v>
      </c>
      <c r="W103">
        <v>1</v>
      </c>
      <c r="X103" t="s">
        <v>67</v>
      </c>
      <c r="Y103">
        <v>7</v>
      </c>
    </row>
    <row r="104" spans="1:25" x14ac:dyDescent="0.25">
      <c r="A104" t="s">
        <v>36</v>
      </c>
      <c r="B104">
        <v>14</v>
      </c>
      <c r="C104">
        <v>1</v>
      </c>
      <c r="D104">
        <v>5</v>
      </c>
      <c r="E104">
        <v>6</v>
      </c>
      <c r="F104">
        <v>5</v>
      </c>
      <c r="G104">
        <v>4</v>
      </c>
      <c r="H104">
        <v>4</v>
      </c>
      <c r="I104">
        <v>4</v>
      </c>
      <c r="J104">
        <v>4</v>
      </c>
      <c r="K104">
        <v>6</v>
      </c>
      <c r="L104">
        <v>5</v>
      </c>
      <c r="M104">
        <v>5</v>
      </c>
      <c r="N104">
        <v>5</v>
      </c>
      <c r="O104">
        <v>6</v>
      </c>
      <c r="P104">
        <v>6</v>
      </c>
      <c r="Q104">
        <v>4</v>
      </c>
      <c r="R104">
        <v>4</v>
      </c>
      <c r="S104">
        <v>4</v>
      </c>
      <c r="T104">
        <v>4</v>
      </c>
      <c r="U104">
        <v>5</v>
      </c>
      <c r="V104">
        <v>86</v>
      </c>
      <c r="W104">
        <v>1</v>
      </c>
      <c r="X104" t="s">
        <v>88</v>
      </c>
      <c r="Y104">
        <v>5</v>
      </c>
    </row>
    <row r="105" spans="1:25" x14ac:dyDescent="0.25">
      <c r="A105" t="s">
        <v>36</v>
      </c>
      <c r="B105">
        <v>14</v>
      </c>
      <c r="C105">
        <v>1</v>
      </c>
      <c r="D105">
        <v>5</v>
      </c>
      <c r="E105">
        <v>6</v>
      </c>
      <c r="F105">
        <v>5</v>
      </c>
      <c r="G105">
        <v>4</v>
      </c>
      <c r="H105">
        <v>4</v>
      </c>
      <c r="I105">
        <v>4</v>
      </c>
      <c r="J105">
        <v>4</v>
      </c>
      <c r="K105">
        <v>6</v>
      </c>
      <c r="L105">
        <v>5</v>
      </c>
      <c r="M105">
        <v>5</v>
      </c>
      <c r="N105">
        <v>5</v>
      </c>
      <c r="O105">
        <v>6</v>
      </c>
      <c r="P105">
        <v>6</v>
      </c>
      <c r="Q105">
        <v>4</v>
      </c>
      <c r="R105">
        <v>4</v>
      </c>
      <c r="S105">
        <v>4</v>
      </c>
      <c r="T105">
        <v>4</v>
      </c>
      <c r="U105">
        <v>5</v>
      </c>
      <c r="V105">
        <v>86</v>
      </c>
      <c r="W105">
        <v>1</v>
      </c>
      <c r="X105" t="s">
        <v>69</v>
      </c>
      <c r="Y105">
        <v>0</v>
      </c>
    </row>
    <row r="106" spans="1:25" x14ac:dyDescent="0.25">
      <c r="A106" t="s">
        <v>36</v>
      </c>
      <c r="B106">
        <v>14</v>
      </c>
      <c r="C106">
        <v>1</v>
      </c>
      <c r="D106">
        <v>5</v>
      </c>
      <c r="E106">
        <v>6</v>
      </c>
      <c r="F106">
        <v>5</v>
      </c>
      <c r="G106">
        <v>4</v>
      </c>
      <c r="H106">
        <v>4</v>
      </c>
      <c r="I106">
        <v>4</v>
      </c>
      <c r="J106">
        <v>4</v>
      </c>
      <c r="K106">
        <v>6</v>
      </c>
      <c r="L106">
        <v>5</v>
      </c>
      <c r="M106">
        <v>5</v>
      </c>
      <c r="N106">
        <v>5</v>
      </c>
      <c r="O106">
        <v>6</v>
      </c>
      <c r="P106">
        <v>6</v>
      </c>
      <c r="Q106">
        <v>4</v>
      </c>
      <c r="R106">
        <v>4</v>
      </c>
      <c r="S106">
        <v>4</v>
      </c>
      <c r="T106">
        <v>4</v>
      </c>
      <c r="U106">
        <v>5</v>
      </c>
      <c r="V106">
        <v>86</v>
      </c>
      <c r="W106">
        <v>1</v>
      </c>
      <c r="X106" t="s">
        <v>89</v>
      </c>
      <c r="Y106">
        <v>0</v>
      </c>
    </row>
    <row r="107" spans="1:25" x14ac:dyDescent="0.25">
      <c r="A107" t="s">
        <v>41</v>
      </c>
      <c r="B107">
        <v>14</v>
      </c>
      <c r="C107">
        <v>1</v>
      </c>
      <c r="D107">
        <v>5</v>
      </c>
      <c r="E107">
        <v>4</v>
      </c>
      <c r="F107">
        <v>3</v>
      </c>
      <c r="G107">
        <v>4</v>
      </c>
      <c r="H107">
        <v>6</v>
      </c>
      <c r="I107">
        <v>5</v>
      </c>
      <c r="J107">
        <v>4</v>
      </c>
      <c r="K107">
        <v>5</v>
      </c>
      <c r="L107">
        <v>5</v>
      </c>
      <c r="M107">
        <v>6</v>
      </c>
      <c r="N107">
        <v>4</v>
      </c>
      <c r="O107">
        <v>6</v>
      </c>
      <c r="P107">
        <v>5</v>
      </c>
      <c r="Q107">
        <v>6</v>
      </c>
      <c r="R107">
        <v>4</v>
      </c>
      <c r="S107">
        <v>3</v>
      </c>
      <c r="T107">
        <v>6</v>
      </c>
      <c r="U107">
        <v>5</v>
      </c>
      <c r="V107">
        <v>86</v>
      </c>
      <c r="W107">
        <v>1</v>
      </c>
      <c r="X107" t="s">
        <v>66</v>
      </c>
      <c r="Y107">
        <v>5</v>
      </c>
    </row>
    <row r="108" spans="1:25" x14ac:dyDescent="0.25">
      <c r="A108" t="s">
        <v>41</v>
      </c>
      <c r="B108">
        <v>14</v>
      </c>
      <c r="C108">
        <v>1</v>
      </c>
      <c r="D108">
        <v>5</v>
      </c>
      <c r="E108">
        <v>4</v>
      </c>
      <c r="F108">
        <v>3</v>
      </c>
      <c r="G108">
        <v>4</v>
      </c>
      <c r="H108">
        <v>6</v>
      </c>
      <c r="I108">
        <v>5</v>
      </c>
      <c r="J108">
        <v>4</v>
      </c>
      <c r="K108">
        <v>5</v>
      </c>
      <c r="L108">
        <v>5</v>
      </c>
      <c r="M108">
        <v>6</v>
      </c>
      <c r="N108">
        <v>4</v>
      </c>
      <c r="O108">
        <v>6</v>
      </c>
      <c r="P108">
        <v>5</v>
      </c>
      <c r="Q108">
        <v>6</v>
      </c>
      <c r="R108">
        <v>4</v>
      </c>
      <c r="S108">
        <v>3</v>
      </c>
      <c r="T108">
        <v>6</v>
      </c>
      <c r="U108">
        <v>5</v>
      </c>
      <c r="V108">
        <v>86</v>
      </c>
      <c r="W108">
        <v>1</v>
      </c>
      <c r="X108" t="s">
        <v>65</v>
      </c>
      <c r="Y108">
        <v>1</v>
      </c>
    </row>
    <row r="109" spans="1:25" x14ac:dyDescent="0.25">
      <c r="A109" t="s">
        <v>41</v>
      </c>
      <c r="B109">
        <v>14</v>
      </c>
      <c r="C109">
        <v>1</v>
      </c>
      <c r="D109">
        <v>5</v>
      </c>
      <c r="E109">
        <v>4</v>
      </c>
      <c r="F109">
        <v>3</v>
      </c>
      <c r="G109">
        <v>4</v>
      </c>
      <c r="H109">
        <v>6</v>
      </c>
      <c r="I109">
        <v>5</v>
      </c>
      <c r="J109">
        <v>4</v>
      </c>
      <c r="K109">
        <v>5</v>
      </c>
      <c r="L109">
        <v>5</v>
      </c>
      <c r="M109">
        <v>6</v>
      </c>
      <c r="N109">
        <v>4</v>
      </c>
      <c r="O109">
        <v>6</v>
      </c>
      <c r="P109">
        <v>5</v>
      </c>
      <c r="Q109">
        <v>6</v>
      </c>
      <c r="R109">
        <v>4</v>
      </c>
      <c r="S109">
        <v>3</v>
      </c>
      <c r="T109">
        <v>6</v>
      </c>
      <c r="U109">
        <v>5</v>
      </c>
      <c r="V109">
        <v>86</v>
      </c>
      <c r="W109">
        <v>1</v>
      </c>
      <c r="X109" t="s">
        <v>64</v>
      </c>
      <c r="Y109">
        <v>0</v>
      </c>
    </row>
    <row r="110" spans="1:25" x14ac:dyDescent="0.25">
      <c r="A110" t="s">
        <v>41</v>
      </c>
      <c r="B110">
        <v>14</v>
      </c>
      <c r="C110">
        <v>1</v>
      </c>
      <c r="D110">
        <v>5</v>
      </c>
      <c r="E110">
        <v>4</v>
      </c>
      <c r="F110">
        <v>3</v>
      </c>
      <c r="G110">
        <v>4</v>
      </c>
      <c r="H110">
        <v>6</v>
      </c>
      <c r="I110">
        <v>5</v>
      </c>
      <c r="J110">
        <v>4</v>
      </c>
      <c r="K110">
        <v>5</v>
      </c>
      <c r="L110">
        <v>5</v>
      </c>
      <c r="M110">
        <v>6</v>
      </c>
      <c r="N110">
        <v>4</v>
      </c>
      <c r="O110">
        <v>6</v>
      </c>
      <c r="P110">
        <v>5</v>
      </c>
      <c r="Q110">
        <v>6</v>
      </c>
      <c r="R110">
        <v>4</v>
      </c>
      <c r="S110">
        <v>3</v>
      </c>
      <c r="T110">
        <v>6</v>
      </c>
      <c r="U110">
        <v>5</v>
      </c>
      <c r="V110">
        <v>86</v>
      </c>
      <c r="W110">
        <v>1</v>
      </c>
      <c r="X110" t="s">
        <v>67</v>
      </c>
      <c r="Y110">
        <v>8</v>
      </c>
    </row>
    <row r="111" spans="1:25" x14ac:dyDescent="0.25">
      <c r="A111" t="s">
        <v>41</v>
      </c>
      <c r="B111">
        <v>14</v>
      </c>
      <c r="C111">
        <v>1</v>
      </c>
      <c r="D111">
        <v>5</v>
      </c>
      <c r="E111">
        <v>4</v>
      </c>
      <c r="F111">
        <v>3</v>
      </c>
      <c r="G111">
        <v>4</v>
      </c>
      <c r="H111">
        <v>6</v>
      </c>
      <c r="I111">
        <v>5</v>
      </c>
      <c r="J111">
        <v>4</v>
      </c>
      <c r="K111">
        <v>5</v>
      </c>
      <c r="L111">
        <v>5</v>
      </c>
      <c r="M111">
        <v>6</v>
      </c>
      <c r="N111">
        <v>4</v>
      </c>
      <c r="O111">
        <v>6</v>
      </c>
      <c r="P111">
        <v>5</v>
      </c>
      <c r="Q111">
        <v>6</v>
      </c>
      <c r="R111">
        <v>4</v>
      </c>
      <c r="S111">
        <v>3</v>
      </c>
      <c r="T111">
        <v>6</v>
      </c>
      <c r="U111">
        <v>5</v>
      </c>
      <c r="V111">
        <v>86</v>
      </c>
      <c r="W111">
        <v>1</v>
      </c>
      <c r="X111" t="s">
        <v>88</v>
      </c>
      <c r="Y111">
        <v>4</v>
      </c>
    </row>
    <row r="112" spans="1:25" x14ac:dyDescent="0.25">
      <c r="A112" t="s">
        <v>41</v>
      </c>
      <c r="B112">
        <v>14</v>
      </c>
      <c r="C112">
        <v>1</v>
      </c>
      <c r="D112">
        <v>5</v>
      </c>
      <c r="E112">
        <v>4</v>
      </c>
      <c r="F112">
        <v>3</v>
      </c>
      <c r="G112">
        <v>4</v>
      </c>
      <c r="H112">
        <v>6</v>
      </c>
      <c r="I112">
        <v>5</v>
      </c>
      <c r="J112">
        <v>4</v>
      </c>
      <c r="K112">
        <v>5</v>
      </c>
      <c r="L112">
        <v>5</v>
      </c>
      <c r="M112">
        <v>6</v>
      </c>
      <c r="N112">
        <v>4</v>
      </c>
      <c r="O112">
        <v>6</v>
      </c>
      <c r="P112">
        <v>5</v>
      </c>
      <c r="Q112">
        <v>6</v>
      </c>
      <c r="R112">
        <v>4</v>
      </c>
      <c r="S112">
        <v>3</v>
      </c>
      <c r="T112">
        <v>6</v>
      </c>
      <c r="U112">
        <v>5</v>
      </c>
      <c r="V112">
        <v>86</v>
      </c>
      <c r="W112">
        <v>1</v>
      </c>
      <c r="X112" t="s">
        <v>69</v>
      </c>
      <c r="Y112">
        <v>0</v>
      </c>
    </row>
    <row r="113" spans="1:25" x14ac:dyDescent="0.25">
      <c r="A113" t="s">
        <v>41</v>
      </c>
      <c r="B113">
        <v>14</v>
      </c>
      <c r="C113">
        <v>1</v>
      </c>
      <c r="D113">
        <v>5</v>
      </c>
      <c r="E113">
        <v>4</v>
      </c>
      <c r="F113">
        <v>3</v>
      </c>
      <c r="G113">
        <v>4</v>
      </c>
      <c r="H113">
        <v>6</v>
      </c>
      <c r="I113">
        <v>5</v>
      </c>
      <c r="J113">
        <v>4</v>
      </c>
      <c r="K113">
        <v>5</v>
      </c>
      <c r="L113">
        <v>5</v>
      </c>
      <c r="M113">
        <v>6</v>
      </c>
      <c r="N113">
        <v>4</v>
      </c>
      <c r="O113">
        <v>6</v>
      </c>
      <c r="P113">
        <v>5</v>
      </c>
      <c r="Q113">
        <v>6</v>
      </c>
      <c r="R113">
        <v>4</v>
      </c>
      <c r="S113">
        <v>3</v>
      </c>
      <c r="T113">
        <v>6</v>
      </c>
      <c r="U113">
        <v>5</v>
      </c>
      <c r="V113">
        <v>86</v>
      </c>
      <c r="W113">
        <v>1</v>
      </c>
      <c r="X113" t="s">
        <v>89</v>
      </c>
      <c r="Y113">
        <v>0</v>
      </c>
    </row>
    <row r="114" spans="1:25" x14ac:dyDescent="0.25">
      <c r="A114" t="s">
        <v>35</v>
      </c>
      <c r="B114">
        <v>15</v>
      </c>
      <c r="C114">
        <v>2</v>
      </c>
      <c r="D114">
        <v>7</v>
      </c>
      <c r="E114">
        <v>5</v>
      </c>
      <c r="F114">
        <v>3</v>
      </c>
      <c r="G114">
        <v>3</v>
      </c>
      <c r="H114">
        <v>6</v>
      </c>
      <c r="I114">
        <v>5</v>
      </c>
      <c r="J114">
        <v>6</v>
      </c>
      <c r="K114">
        <v>4</v>
      </c>
      <c r="L114">
        <v>4</v>
      </c>
      <c r="M114">
        <v>4</v>
      </c>
      <c r="N114">
        <v>3</v>
      </c>
      <c r="O114">
        <v>4</v>
      </c>
      <c r="P114">
        <v>4</v>
      </c>
      <c r="Q114">
        <v>7</v>
      </c>
      <c r="R114">
        <v>5</v>
      </c>
      <c r="S114">
        <v>5</v>
      </c>
      <c r="T114">
        <v>5</v>
      </c>
      <c r="U114">
        <v>6</v>
      </c>
      <c r="V114">
        <v>86</v>
      </c>
      <c r="W114">
        <v>0</v>
      </c>
      <c r="X114" t="s">
        <v>66</v>
      </c>
      <c r="Y114">
        <v>8</v>
      </c>
    </row>
    <row r="115" spans="1:25" x14ac:dyDescent="0.25">
      <c r="A115" t="s">
        <v>35</v>
      </c>
      <c r="B115">
        <v>15</v>
      </c>
      <c r="C115">
        <v>2</v>
      </c>
      <c r="D115">
        <v>7</v>
      </c>
      <c r="E115">
        <v>5</v>
      </c>
      <c r="F115">
        <v>3</v>
      </c>
      <c r="G115">
        <v>3</v>
      </c>
      <c r="H115">
        <v>6</v>
      </c>
      <c r="I115">
        <v>5</v>
      </c>
      <c r="J115">
        <v>6</v>
      </c>
      <c r="K115">
        <v>4</v>
      </c>
      <c r="L115">
        <v>4</v>
      </c>
      <c r="M115">
        <v>4</v>
      </c>
      <c r="N115">
        <v>3</v>
      </c>
      <c r="O115">
        <v>4</v>
      </c>
      <c r="P115">
        <v>4</v>
      </c>
      <c r="Q115">
        <v>7</v>
      </c>
      <c r="R115">
        <v>5</v>
      </c>
      <c r="S115">
        <v>5</v>
      </c>
      <c r="T115">
        <v>5</v>
      </c>
      <c r="U115">
        <v>6</v>
      </c>
      <c r="V115">
        <v>86</v>
      </c>
      <c r="W115">
        <v>0</v>
      </c>
      <c r="X115" t="s">
        <v>65</v>
      </c>
      <c r="Y115">
        <v>1</v>
      </c>
    </row>
    <row r="116" spans="1:25" x14ac:dyDescent="0.25">
      <c r="A116" t="s">
        <v>35</v>
      </c>
      <c r="B116">
        <v>15</v>
      </c>
      <c r="C116">
        <v>2</v>
      </c>
      <c r="D116">
        <v>7</v>
      </c>
      <c r="E116">
        <v>5</v>
      </c>
      <c r="F116">
        <v>3</v>
      </c>
      <c r="G116">
        <v>3</v>
      </c>
      <c r="H116">
        <v>6</v>
      </c>
      <c r="I116">
        <v>5</v>
      </c>
      <c r="J116">
        <v>6</v>
      </c>
      <c r="K116">
        <v>4</v>
      </c>
      <c r="L116">
        <v>4</v>
      </c>
      <c r="M116">
        <v>4</v>
      </c>
      <c r="N116">
        <v>3</v>
      </c>
      <c r="O116">
        <v>4</v>
      </c>
      <c r="P116">
        <v>4</v>
      </c>
      <c r="Q116">
        <v>7</v>
      </c>
      <c r="R116">
        <v>5</v>
      </c>
      <c r="S116">
        <v>5</v>
      </c>
      <c r="T116">
        <v>5</v>
      </c>
      <c r="U116">
        <v>6</v>
      </c>
      <c r="V116">
        <v>86</v>
      </c>
      <c r="W116">
        <v>0</v>
      </c>
      <c r="X116" t="s">
        <v>64</v>
      </c>
      <c r="Y116">
        <v>0</v>
      </c>
    </row>
    <row r="117" spans="1:25" x14ac:dyDescent="0.25">
      <c r="A117" t="s">
        <v>35</v>
      </c>
      <c r="B117">
        <v>15</v>
      </c>
      <c r="C117">
        <v>2</v>
      </c>
      <c r="D117">
        <v>7</v>
      </c>
      <c r="E117">
        <v>5</v>
      </c>
      <c r="F117">
        <v>3</v>
      </c>
      <c r="G117">
        <v>3</v>
      </c>
      <c r="H117">
        <v>6</v>
      </c>
      <c r="I117">
        <v>5</v>
      </c>
      <c r="J117">
        <v>6</v>
      </c>
      <c r="K117">
        <v>4</v>
      </c>
      <c r="L117">
        <v>4</v>
      </c>
      <c r="M117">
        <v>4</v>
      </c>
      <c r="N117">
        <v>3</v>
      </c>
      <c r="O117">
        <v>4</v>
      </c>
      <c r="P117">
        <v>4</v>
      </c>
      <c r="Q117">
        <v>7</v>
      </c>
      <c r="R117">
        <v>5</v>
      </c>
      <c r="S117">
        <v>5</v>
      </c>
      <c r="T117">
        <v>5</v>
      </c>
      <c r="U117">
        <v>6</v>
      </c>
      <c r="V117">
        <v>86</v>
      </c>
      <c r="W117">
        <v>0</v>
      </c>
      <c r="X117" t="s">
        <v>67</v>
      </c>
      <c r="Y117">
        <v>3</v>
      </c>
    </row>
    <row r="118" spans="1:25" x14ac:dyDescent="0.25">
      <c r="A118" t="s">
        <v>35</v>
      </c>
      <c r="B118">
        <v>15</v>
      </c>
      <c r="C118">
        <v>2</v>
      </c>
      <c r="D118">
        <v>7</v>
      </c>
      <c r="E118">
        <v>5</v>
      </c>
      <c r="F118">
        <v>3</v>
      </c>
      <c r="G118">
        <v>3</v>
      </c>
      <c r="H118">
        <v>6</v>
      </c>
      <c r="I118">
        <v>5</v>
      </c>
      <c r="J118">
        <v>6</v>
      </c>
      <c r="K118">
        <v>4</v>
      </c>
      <c r="L118">
        <v>4</v>
      </c>
      <c r="M118">
        <v>4</v>
      </c>
      <c r="N118">
        <v>3</v>
      </c>
      <c r="O118">
        <v>4</v>
      </c>
      <c r="P118">
        <v>4</v>
      </c>
      <c r="Q118">
        <v>7</v>
      </c>
      <c r="R118">
        <v>5</v>
      </c>
      <c r="S118">
        <v>5</v>
      </c>
      <c r="T118">
        <v>5</v>
      </c>
      <c r="U118">
        <v>6</v>
      </c>
      <c r="V118">
        <v>86</v>
      </c>
      <c r="W118">
        <v>0</v>
      </c>
      <c r="X118" t="s">
        <v>88</v>
      </c>
      <c r="Y118">
        <v>5</v>
      </c>
    </row>
    <row r="119" spans="1:25" x14ac:dyDescent="0.25">
      <c r="A119" t="s">
        <v>35</v>
      </c>
      <c r="B119">
        <v>15</v>
      </c>
      <c r="C119">
        <v>2</v>
      </c>
      <c r="D119">
        <v>7</v>
      </c>
      <c r="E119">
        <v>5</v>
      </c>
      <c r="F119">
        <v>3</v>
      </c>
      <c r="G119">
        <v>3</v>
      </c>
      <c r="H119">
        <v>6</v>
      </c>
      <c r="I119">
        <v>5</v>
      </c>
      <c r="J119">
        <v>6</v>
      </c>
      <c r="K119">
        <v>4</v>
      </c>
      <c r="L119">
        <v>4</v>
      </c>
      <c r="M119">
        <v>4</v>
      </c>
      <c r="N119">
        <v>3</v>
      </c>
      <c r="O119">
        <v>4</v>
      </c>
      <c r="P119">
        <v>4</v>
      </c>
      <c r="Q119">
        <v>7</v>
      </c>
      <c r="R119">
        <v>5</v>
      </c>
      <c r="S119">
        <v>5</v>
      </c>
      <c r="T119">
        <v>5</v>
      </c>
      <c r="U119">
        <v>6</v>
      </c>
      <c r="V119">
        <v>86</v>
      </c>
      <c r="W119">
        <v>0</v>
      </c>
      <c r="X119" t="s">
        <v>69</v>
      </c>
      <c r="Y119">
        <v>1</v>
      </c>
    </row>
    <row r="120" spans="1:25" x14ac:dyDescent="0.25">
      <c r="A120" t="s">
        <v>35</v>
      </c>
      <c r="B120">
        <v>15</v>
      </c>
      <c r="C120">
        <v>2</v>
      </c>
      <c r="D120">
        <v>7</v>
      </c>
      <c r="E120">
        <v>5</v>
      </c>
      <c r="F120">
        <v>3</v>
      </c>
      <c r="G120">
        <v>3</v>
      </c>
      <c r="H120">
        <v>6</v>
      </c>
      <c r="I120">
        <v>5</v>
      </c>
      <c r="J120">
        <v>6</v>
      </c>
      <c r="K120">
        <v>4</v>
      </c>
      <c r="L120">
        <v>4</v>
      </c>
      <c r="M120">
        <v>4</v>
      </c>
      <c r="N120">
        <v>3</v>
      </c>
      <c r="O120">
        <v>4</v>
      </c>
      <c r="P120">
        <v>4</v>
      </c>
      <c r="Q120">
        <v>7</v>
      </c>
      <c r="R120">
        <v>5</v>
      </c>
      <c r="S120">
        <v>5</v>
      </c>
      <c r="T120">
        <v>5</v>
      </c>
      <c r="U120">
        <v>6</v>
      </c>
      <c r="V120">
        <v>86</v>
      </c>
      <c r="W120">
        <v>0</v>
      </c>
      <c r="X120" t="s">
        <v>89</v>
      </c>
      <c r="Y120">
        <v>0</v>
      </c>
    </row>
    <row r="121" spans="1:25" x14ac:dyDescent="0.25">
      <c r="A121" t="s">
        <v>26</v>
      </c>
      <c r="B121">
        <v>16</v>
      </c>
      <c r="C121">
        <v>2</v>
      </c>
      <c r="D121">
        <v>5</v>
      </c>
      <c r="E121">
        <v>5</v>
      </c>
      <c r="F121">
        <v>5</v>
      </c>
      <c r="G121">
        <v>3</v>
      </c>
      <c r="H121">
        <v>5</v>
      </c>
      <c r="I121">
        <v>5</v>
      </c>
      <c r="J121">
        <v>5</v>
      </c>
      <c r="K121">
        <v>4</v>
      </c>
      <c r="L121">
        <v>4</v>
      </c>
      <c r="M121">
        <v>7</v>
      </c>
      <c r="N121">
        <v>3</v>
      </c>
      <c r="O121">
        <v>5</v>
      </c>
      <c r="P121">
        <v>5</v>
      </c>
      <c r="Q121">
        <v>5</v>
      </c>
      <c r="R121">
        <v>4</v>
      </c>
      <c r="S121">
        <v>3</v>
      </c>
      <c r="T121">
        <v>6</v>
      </c>
      <c r="U121">
        <v>7</v>
      </c>
      <c r="V121">
        <v>86</v>
      </c>
      <c r="W121">
        <v>-1</v>
      </c>
      <c r="X121" t="s">
        <v>66</v>
      </c>
      <c r="Y121">
        <v>9</v>
      </c>
    </row>
    <row r="122" spans="1:25" x14ac:dyDescent="0.25">
      <c r="A122" t="s">
        <v>26</v>
      </c>
      <c r="B122">
        <v>16</v>
      </c>
      <c r="C122">
        <v>2</v>
      </c>
      <c r="D122">
        <v>5</v>
      </c>
      <c r="E122">
        <v>5</v>
      </c>
      <c r="F122">
        <v>5</v>
      </c>
      <c r="G122">
        <v>3</v>
      </c>
      <c r="H122">
        <v>5</v>
      </c>
      <c r="I122">
        <v>5</v>
      </c>
      <c r="J122">
        <v>5</v>
      </c>
      <c r="K122">
        <v>4</v>
      </c>
      <c r="L122">
        <v>4</v>
      </c>
      <c r="M122">
        <v>7</v>
      </c>
      <c r="N122">
        <v>3</v>
      </c>
      <c r="O122">
        <v>5</v>
      </c>
      <c r="P122">
        <v>5</v>
      </c>
      <c r="Q122">
        <v>5</v>
      </c>
      <c r="R122">
        <v>4</v>
      </c>
      <c r="S122">
        <v>3</v>
      </c>
      <c r="T122">
        <v>6</v>
      </c>
      <c r="U122">
        <v>7</v>
      </c>
      <c r="V122">
        <v>86</v>
      </c>
      <c r="W122">
        <v>-1</v>
      </c>
      <c r="X122" t="s">
        <v>65</v>
      </c>
      <c r="Y122">
        <v>0</v>
      </c>
    </row>
    <row r="123" spans="1:25" x14ac:dyDescent="0.25">
      <c r="A123" t="s">
        <v>26</v>
      </c>
      <c r="B123">
        <v>16</v>
      </c>
      <c r="C123">
        <v>2</v>
      </c>
      <c r="D123">
        <v>5</v>
      </c>
      <c r="E123">
        <v>5</v>
      </c>
      <c r="F123">
        <v>5</v>
      </c>
      <c r="G123">
        <v>3</v>
      </c>
      <c r="H123">
        <v>5</v>
      </c>
      <c r="I123">
        <v>5</v>
      </c>
      <c r="J123">
        <v>5</v>
      </c>
      <c r="K123">
        <v>4</v>
      </c>
      <c r="L123">
        <v>4</v>
      </c>
      <c r="M123">
        <v>7</v>
      </c>
      <c r="N123">
        <v>3</v>
      </c>
      <c r="O123">
        <v>5</v>
      </c>
      <c r="P123">
        <v>5</v>
      </c>
      <c r="Q123">
        <v>5</v>
      </c>
      <c r="R123">
        <v>4</v>
      </c>
      <c r="S123">
        <v>3</v>
      </c>
      <c r="T123">
        <v>6</v>
      </c>
      <c r="U123">
        <v>7</v>
      </c>
      <c r="V123">
        <v>86</v>
      </c>
      <c r="W123">
        <v>-1</v>
      </c>
      <c r="X123" t="s">
        <v>64</v>
      </c>
      <c r="Y123">
        <v>0</v>
      </c>
    </row>
    <row r="124" spans="1:25" x14ac:dyDescent="0.25">
      <c r="A124" t="s">
        <v>26</v>
      </c>
      <c r="B124">
        <v>16</v>
      </c>
      <c r="C124">
        <v>2</v>
      </c>
      <c r="D124">
        <v>5</v>
      </c>
      <c r="E124">
        <v>5</v>
      </c>
      <c r="F124">
        <v>5</v>
      </c>
      <c r="G124">
        <v>3</v>
      </c>
      <c r="H124">
        <v>5</v>
      </c>
      <c r="I124">
        <v>5</v>
      </c>
      <c r="J124">
        <v>5</v>
      </c>
      <c r="K124">
        <v>4</v>
      </c>
      <c r="L124">
        <v>4</v>
      </c>
      <c r="M124">
        <v>7</v>
      </c>
      <c r="N124">
        <v>3</v>
      </c>
      <c r="O124">
        <v>5</v>
      </c>
      <c r="P124">
        <v>5</v>
      </c>
      <c r="Q124">
        <v>5</v>
      </c>
      <c r="R124">
        <v>4</v>
      </c>
      <c r="S124">
        <v>3</v>
      </c>
      <c r="T124">
        <v>6</v>
      </c>
      <c r="U124">
        <v>7</v>
      </c>
      <c r="V124">
        <v>86</v>
      </c>
      <c r="W124">
        <v>-1</v>
      </c>
      <c r="X124" t="s">
        <v>67</v>
      </c>
      <c r="Y124">
        <v>5</v>
      </c>
    </row>
    <row r="125" spans="1:25" x14ac:dyDescent="0.25">
      <c r="A125" t="s">
        <v>26</v>
      </c>
      <c r="B125">
        <v>16</v>
      </c>
      <c r="C125">
        <v>2</v>
      </c>
      <c r="D125">
        <v>5</v>
      </c>
      <c r="E125">
        <v>5</v>
      </c>
      <c r="F125">
        <v>5</v>
      </c>
      <c r="G125">
        <v>3</v>
      </c>
      <c r="H125">
        <v>5</v>
      </c>
      <c r="I125">
        <v>5</v>
      </c>
      <c r="J125">
        <v>5</v>
      </c>
      <c r="K125">
        <v>4</v>
      </c>
      <c r="L125">
        <v>4</v>
      </c>
      <c r="M125">
        <v>7</v>
      </c>
      <c r="N125">
        <v>3</v>
      </c>
      <c r="O125">
        <v>5</v>
      </c>
      <c r="P125">
        <v>5</v>
      </c>
      <c r="Q125">
        <v>5</v>
      </c>
      <c r="R125">
        <v>4</v>
      </c>
      <c r="S125">
        <v>3</v>
      </c>
      <c r="T125">
        <v>6</v>
      </c>
      <c r="U125">
        <v>7</v>
      </c>
      <c r="V125">
        <v>86</v>
      </c>
      <c r="W125">
        <v>-1</v>
      </c>
      <c r="X125" t="s">
        <v>88</v>
      </c>
      <c r="Y125">
        <v>2</v>
      </c>
    </row>
    <row r="126" spans="1:25" x14ac:dyDescent="0.25">
      <c r="A126" t="s">
        <v>26</v>
      </c>
      <c r="B126">
        <v>16</v>
      </c>
      <c r="C126">
        <v>2</v>
      </c>
      <c r="D126">
        <v>5</v>
      </c>
      <c r="E126">
        <v>5</v>
      </c>
      <c r="F126">
        <v>5</v>
      </c>
      <c r="G126">
        <v>3</v>
      </c>
      <c r="H126">
        <v>5</v>
      </c>
      <c r="I126">
        <v>5</v>
      </c>
      <c r="J126">
        <v>5</v>
      </c>
      <c r="K126">
        <v>4</v>
      </c>
      <c r="L126">
        <v>4</v>
      </c>
      <c r="M126">
        <v>7</v>
      </c>
      <c r="N126">
        <v>3</v>
      </c>
      <c r="O126">
        <v>5</v>
      </c>
      <c r="P126">
        <v>5</v>
      </c>
      <c r="Q126">
        <v>5</v>
      </c>
      <c r="R126">
        <v>4</v>
      </c>
      <c r="S126">
        <v>3</v>
      </c>
      <c r="T126">
        <v>6</v>
      </c>
      <c r="U126">
        <v>7</v>
      </c>
      <c r="V126">
        <v>86</v>
      </c>
      <c r="W126">
        <v>-1</v>
      </c>
      <c r="X126" t="s">
        <v>69</v>
      </c>
      <c r="Y126">
        <v>2</v>
      </c>
    </row>
    <row r="127" spans="1:25" x14ac:dyDescent="0.25">
      <c r="A127" t="s">
        <v>26</v>
      </c>
      <c r="B127">
        <v>16</v>
      </c>
      <c r="C127">
        <v>2</v>
      </c>
      <c r="D127">
        <v>5</v>
      </c>
      <c r="E127">
        <v>5</v>
      </c>
      <c r="F127">
        <v>5</v>
      </c>
      <c r="G127">
        <v>3</v>
      </c>
      <c r="H127">
        <v>5</v>
      </c>
      <c r="I127">
        <v>5</v>
      </c>
      <c r="J127">
        <v>5</v>
      </c>
      <c r="K127">
        <v>4</v>
      </c>
      <c r="L127">
        <v>4</v>
      </c>
      <c r="M127">
        <v>7</v>
      </c>
      <c r="N127">
        <v>3</v>
      </c>
      <c r="O127">
        <v>5</v>
      </c>
      <c r="P127">
        <v>5</v>
      </c>
      <c r="Q127">
        <v>5</v>
      </c>
      <c r="R127">
        <v>4</v>
      </c>
      <c r="S127">
        <v>3</v>
      </c>
      <c r="T127">
        <v>6</v>
      </c>
      <c r="U127">
        <v>7</v>
      </c>
      <c r="V127">
        <v>86</v>
      </c>
      <c r="W127">
        <v>-1</v>
      </c>
      <c r="X127" t="s">
        <v>89</v>
      </c>
      <c r="Y127">
        <v>0</v>
      </c>
    </row>
    <row r="128" spans="1:25" x14ac:dyDescent="0.25">
      <c r="A128" t="s">
        <v>37</v>
      </c>
      <c r="B128">
        <v>18</v>
      </c>
      <c r="C128">
        <v>1</v>
      </c>
      <c r="D128">
        <v>7</v>
      </c>
      <c r="E128">
        <v>5</v>
      </c>
      <c r="F128">
        <v>5</v>
      </c>
      <c r="G128">
        <v>3</v>
      </c>
      <c r="H128">
        <v>4</v>
      </c>
      <c r="I128">
        <v>5</v>
      </c>
      <c r="J128">
        <v>4</v>
      </c>
      <c r="K128">
        <v>5</v>
      </c>
      <c r="L128">
        <v>5</v>
      </c>
      <c r="M128">
        <v>5</v>
      </c>
      <c r="N128">
        <v>3</v>
      </c>
      <c r="O128">
        <v>5</v>
      </c>
      <c r="P128">
        <v>5</v>
      </c>
      <c r="Q128">
        <v>6</v>
      </c>
      <c r="R128">
        <v>6</v>
      </c>
      <c r="S128">
        <v>4</v>
      </c>
      <c r="T128">
        <v>4</v>
      </c>
      <c r="U128">
        <v>5</v>
      </c>
      <c r="V128">
        <v>86</v>
      </c>
      <c r="W128">
        <v>-3</v>
      </c>
      <c r="X128" t="s">
        <v>66</v>
      </c>
      <c r="Y128">
        <v>5</v>
      </c>
    </row>
    <row r="129" spans="1:25" x14ac:dyDescent="0.25">
      <c r="A129" t="s">
        <v>37</v>
      </c>
      <c r="B129">
        <v>18</v>
      </c>
      <c r="C129">
        <v>1</v>
      </c>
      <c r="D129">
        <v>7</v>
      </c>
      <c r="E129">
        <v>5</v>
      </c>
      <c r="F129">
        <v>5</v>
      </c>
      <c r="G129">
        <v>3</v>
      </c>
      <c r="H129">
        <v>4</v>
      </c>
      <c r="I129">
        <v>5</v>
      </c>
      <c r="J129">
        <v>4</v>
      </c>
      <c r="K129">
        <v>5</v>
      </c>
      <c r="L129">
        <v>5</v>
      </c>
      <c r="M129">
        <v>5</v>
      </c>
      <c r="N129">
        <v>3</v>
      </c>
      <c r="O129">
        <v>5</v>
      </c>
      <c r="P129">
        <v>5</v>
      </c>
      <c r="Q129">
        <v>6</v>
      </c>
      <c r="R129">
        <v>6</v>
      </c>
      <c r="S129">
        <v>4</v>
      </c>
      <c r="T129">
        <v>4</v>
      </c>
      <c r="U129">
        <v>5</v>
      </c>
      <c r="V129">
        <v>86</v>
      </c>
      <c r="W129">
        <v>-3</v>
      </c>
      <c r="X129" t="s">
        <v>65</v>
      </c>
      <c r="Y129">
        <v>0</v>
      </c>
    </row>
    <row r="130" spans="1:25" x14ac:dyDescent="0.25">
      <c r="A130" t="s">
        <v>37</v>
      </c>
      <c r="B130">
        <v>18</v>
      </c>
      <c r="C130">
        <v>1</v>
      </c>
      <c r="D130">
        <v>7</v>
      </c>
      <c r="E130">
        <v>5</v>
      </c>
      <c r="F130">
        <v>5</v>
      </c>
      <c r="G130">
        <v>3</v>
      </c>
      <c r="H130">
        <v>4</v>
      </c>
      <c r="I130">
        <v>5</v>
      </c>
      <c r="J130">
        <v>4</v>
      </c>
      <c r="K130">
        <v>5</v>
      </c>
      <c r="L130">
        <v>5</v>
      </c>
      <c r="M130">
        <v>5</v>
      </c>
      <c r="N130">
        <v>3</v>
      </c>
      <c r="O130">
        <v>5</v>
      </c>
      <c r="P130">
        <v>5</v>
      </c>
      <c r="Q130">
        <v>6</v>
      </c>
      <c r="R130">
        <v>6</v>
      </c>
      <c r="S130">
        <v>4</v>
      </c>
      <c r="T130">
        <v>4</v>
      </c>
      <c r="U130">
        <v>5</v>
      </c>
      <c r="V130">
        <v>86</v>
      </c>
      <c r="W130">
        <v>-3</v>
      </c>
      <c r="X130" t="s">
        <v>64</v>
      </c>
      <c r="Y130">
        <v>0</v>
      </c>
    </row>
    <row r="131" spans="1:25" x14ac:dyDescent="0.25">
      <c r="A131" t="s">
        <v>37</v>
      </c>
      <c r="B131">
        <v>18</v>
      </c>
      <c r="C131">
        <v>1</v>
      </c>
      <c r="D131">
        <v>7</v>
      </c>
      <c r="E131">
        <v>5</v>
      </c>
      <c r="F131">
        <v>5</v>
      </c>
      <c r="G131">
        <v>3</v>
      </c>
      <c r="H131">
        <v>4</v>
      </c>
      <c r="I131">
        <v>5</v>
      </c>
      <c r="J131">
        <v>4</v>
      </c>
      <c r="K131">
        <v>5</v>
      </c>
      <c r="L131">
        <v>5</v>
      </c>
      <c r="M131">
        <v>5</v>
      </c>
      <c r="N131">
        <v>3</v>
      </c>
      <c r="O131">
        <v>5</v>
      </c>
      <c r="P131">
        <v>5</v>
      </c>
      <c r="Q131">
        <v>6</v>
      </c>
      <c r="R131">
        <v>6</v>
      </c>
      <c r="S131">
        <v>4</v>
      </c>
      <c r="T131">
        <v>4</v>
      </c>
      <c r="U131">
        <v>5</v>
      </c>
      <c r="V131">
        <v>86</v>
      </c>
      <c r="W131">
        <v>-3</v>
      </c>
      <c r="X131" t="s">
        <v>67</v>
      </c>
      <c r="Y131">
        <v>11</v>
      </c>
    </row>
    <row r="132" spans="1:25" x14ac:dyDescent="0.25">
      <c r="A132" t="s">
        <v>37</v>
      </c>
      <c r="B132">
        <v>18</v>
      </c>
      <c r="C132">
        <v>1</v>
      </c>
      <c r="D132">
        <v>7</v>
      </c>
      <c r="E132">
        <v>5</v>
      </c>
      <c r="F132">
        <v>5</v>
      </c>
      <c r="G132">
        <v>3</v>
      </c>
      <c r="H132">
        <v>4</v>
      </c>
      <c r="I132">
        <v>5</v>
      </c>
      <c r="J132">
        <v>4</v>
      </c>
      <c r="K132">
        <v>5</v>
      </c>
      <c r="L132">
        <v>5</v>
      </c>
      <c r="M132">
        <v>5</v>
      </c>
      <c r="N132">
        <v>3</v>
      </c>
      <c r="O132">
        <v>5</v>
      </c>
      <c r="P132">
        <v>5</v>
      </c>
      <c r="Q132">
        <v>6</v>
      </c>
      <c r="R132">
        <v>6</v>
      </c>
      <c r="S132">
        <v>4</v>
      </c>
      <c r="T132">
        <v>4</v>
      </c>
      <c r="U132">
        <v>5</v>
      </c>
      <c r="V132">
        <v>86</v>
      </c>
      <c r="W132">
        <v>-3</v>
      </c>
      <c r="X132" t="s">
        <v>88</v>
      </c>
      <c r="Y132">
        <v>2</v>
      </c>
    </row>
    <row r="133" spans="1:25" x14ac:dyDescent="0.25">
      <c r="A133" t="s">
        <v>37</v>
      </c>
      <c r="B133">
        <v>18</v>
      </c>
      <c r="C133">
        <v>1</v>
      </c>
      <c r="D133">
        <v>7</v>
      </c>
      <c r="E133">
        <v>5</v>
      </c>
      <c r="F133">
        <v>5</v>
      </c>
      <c r="G133">
        <v>3</v>
      </c>
      <c r="H133">
        <v>4</v>
      </c>
      <c r="I133">
        <v>5</v>
      </c>
      <c r="J133">
        <v>4</v>
      </c>
      <c r="K133">
        <v>5</v>
      </c>
      <c r="L133">
        <v>5</v>
      </c>
      <c r="M133">
        <v>5</v>
      </c>
      <c r="N133">
        <v>3</v>
      </c>
      <c r="O133">
        <v>5</v>
      </c>
      <c r="P133">
        <v>5</v>
      </c>
      <c r="Q133">
        <v>6</v>
      </c>
      <c r="R133">
        <v>6</v>
      </c>
      <c r="S133">
        <v>4</v>
      </c>
      <c r="T133">
        <v>4</v>
      </c>
      <c r="U133">
        <v>5</v>
      </c>
      <c r="V133">
        <v>86</v>
      </c>
      <c r="W133">
        <v>-3</v>
      </c>
      <c r="X133" t="s">
        <v>69</v>
      </c>
      <c r="Y133">
        <v>0</v>
      </c>
    </row>
    <row r="134" spans="1:25" x14ac:dyDescent="0.25">
      <c r="A134" t="s">
        <v>37</v>
      </c>
      <c r="B134">
        <v>18</v>
      </c>
      <c r="C134">
        <v>1</v>
      </c>
      <c r="D134">
        <v>7</v>
      </c>
      <c r="E134">
        <v>5</v>
      </c>
      <c r="F134">
        <v>5</v>
      </c>
      <c r="G134">
        <v>3</v>
      </c>
      <c r="H134">
        <v>4</v>
      </c>
      <c r="I134">
        <v>5</v>
      </c>
      <c r="J134">
        <v>4</v>
      </c>
      <c r="K134">
        <v>5</v>
      </c>
      <c r="L134">
        <v>5</v>
      </c>
      <c r="M134">
        <v>5</v>
      </c>
      <c r="N134">
        <v>3</v>
      </c>
      <c r="O134">
        <v>5</v>
      </c>
      <c r="P134">
        <v>5</v>
      </c>
      <c r="Q134">
        <v>6</v>
      </c>
      <c r="R134">
        <v>6</v>
      </c>
      <c r="S134">
        <v>4</v>
      </c>
      <c r="T134">
        <v>4</v>
      </c>
      <c r="U134">
        <v>5</v>
      </c>
      <c r="V134">
        <v>86</v>
      </c>
      <c r="W134">
        <v>-3</v>
      </c>
      <c r="X134" t="s">
        <v>89</v>
      </c>
      <c r="Y134">
        <v>0</v>
      </c>
    </row>
    <row r="135" spans="1:25" x14ac:dyDescent="0.25">
      <c r="A135" t="s">
        <v>22</v>
      </c>
      <c r="B135">
        <v>18</v>
      </c>
      <c r="C135">
        <v>1</v>
      </c>
      <c r="D135">
        <v>5</v>
      </c>
      <c r="E135">
        <v>4</v>
      </c>
      <c r="F135">
        <v>5</v>
      </c>
      <c r="G135">
        <v>4</v>
      </c>
      <c r="H135">
        <v>5</v>
      </c>
      <c r="I135">
        <v>7</v>
      </c>
      <c r="J135">
        <v>4</v>
      </c>
      <c r="K135">
        <v>5</v>
      </c>
      <c r="L135">
        <v>6</v>
      </c>
      <c r="M135">
        <v>4</v>
      </c>
      <c r="N135">
        <v>4</v>
      </c>
      <c r="O135">
        <v>4</v>
      </c>
      <c r="P135">
        <v>4</v>
      </c>
      <c r="Q135">
        <v>7</v>
      </c>
      <c r="R135">
        <v>5</v>
      </c>
      <c r="S135">
        <v>4</v>
      </c>
      <c r="T135">
        <v>4</v>
      </c>
      <c r="U135">
        <v>6</v>
      </c>
      <c r="V135">
        <v>87</v>
      </c>
      <c r="W135">
        <v>-2</v>
      </c>
      <c r="X135" t="s">
        <v>66</v>
      </c>
      <c r="Y135">
        <v>6</v>
      </c>
    </row>
    <row r="136" spans="1:25" x14ac:dyDescent="0.25">
      <c r="A136" t="s">
        <v>22</v>
      </c>
      <c r="B136">
        <v>18</v>
      </c>
      <c r="C136">
        <v>1</v>
      </c>
      <c r="D136">
        <v>5</v>
      </c>
      <c r="E136">
        <v>4</v>
      </c>
      <c r="F136">
        <v>5</v>
      </c>
      <c r="G136">
        <v>4</v>
      </c>
      <c r="H136">
        <v>5</v>
      </c>
      <c r="I136">
        <v>7</v>
      </c>
      <c r="J136">
        <v>4</v>
      </c>
      <c r="K136">
        <v>5</v>
      </c>
      <c r="L136">
        <v>6</v>
      </c>
      <c r="M136">
        <v>4</v>
      </c>
      <c r="N136">
        <v>4</v>
      </c>
      <c r="O136">
        <v>4</v>
      </c>
      <c r="P136">
        <v>4</v>
      </c>
      <c r="Q136">
        <v>7</v>
      </c>
      <c r="R136">
        <v>5</v>
      </c>
      <c r="S136">
        <v>4</v>
      </c>
      <c r="T136">
        <v>4</v>
      </c>
      <c r="U136">
        <v>6</v>
      </c>
      <c r="V136">
        <v>87</v>
      </c>
      <c r="W136">
        <v>-2</v>
      </c>
      <c r="X136" t="s">
        <v>65</v>
      </c>
      <c r="Y136">
        <v>0</v>
      </c>
    </row>
    <row r="137" spans="1:25" x14ac:dyDescent="0.25">
      <c r="A137" t="s">
        <v>22</v>
      </c>
      <c r="B137">
        <v>18</v>
      </c>
      <c r="C137">
        <v>1</v>
      </c>
      <c r="D137">
        <v>5</v>
      </c>
      <c r="E137">
        <v>4</v>
      </c>
      <c r="F137">
        <v>5</v>
      </c>
      <c r="G137">
        <v>4</v>
      </c>
      <c r="H137">
        <v>5</v>
      </c>
      <c r="I137">
        <v>7</v>
      </c>
      <c r="J137">
        <v>4</v>
      </c>
      <c r="K137">
        <v>5</v>
      </c>
      <c r="L137">
        <v>6</v>
      </c>
      <c r="M137">
        <v>4</v>
      </c>
      <c r="N137">
        <v>4</v>
      </c>
      <c r="O137">
        <v>4</v>
      </c>
      <c r="P137">
        <v>4</v>
      </c>
      <c r="Q137">
        <v>7</v>
      </c>
      <c r="R137">
        <v>5</v>
      </c>
      <c r="S137">
        <v>4</v>
      </c>
      <c r="T137">
        <v>4</v>
      </c>
      <c r="U137">
        <v>6</v>
      </c>
      <c r="V137">
        <v>87</v>
      </c>
      <c r="W137">
        <v>-2</v>
      </c>
      <c r="X137" t="s">
        <v>64</v>
      </c>
      <c r="Y137">
        <v>0</v>
      </c>
    </row>
    <row r="138" spans="1:25" x14ac:dyDescent="0.25">
      <c r="A138" t="s">
        <v>22</v>
      </c>
      <c r="B138">
        <v>18</v>
      </c>
      <c r="C138">
        <v>1</v>
      </c>
      <c r="D138">
        <v>5</v>
      </c>
      <c r="E138">
        <v>4</v>
      </c>
      <c r="F138">
        <v>5</v>
      </c>
      <c r="G138">
        <v>4</v>
      </c>
      <c r="H138">
        <v>5</v>
      </c>
      <c r="I138">
        <v>7</v>
      </c>
      <c r="J138">
        <v>4</v>
      </c>
      <c r="K138">
        <v>5</v>
      </c>
      <c r="L138">
        <v>6</v>
      </c>
      <c r="M138">
        <v>4</v>
      </c>
      <c r="N138">
        <v>4</v>
      </c>
      <c r="O138">
        <v>4</v>
      </c>
      <c r="P138">
        <v>4</v>
      </c>
      <c r="Q138">
        <v>7</v>
      </c>
      <c r="R138">
        <v>5</v>
      </c>
      <c r="S138">
        <v>4</v>
      </c>
      <c r="T138">
        <v>4</v>
      </c>
      <c r="U138">
        <v>6</v>
      </c>
      <c r="V138">
        <v>87</v>
      </c>
      <c r="W138">
        <v>-2</v>
      </c>
      <c r="X138" t="s">
        <v>67</v>
      </c>
      <c r="Y138">
        <v>8</v>
      </c>
    </row>
    <row r="139" spans="1:25" x14ac:dyDescent="0.25">
      <c r="A139" t="s">
        <v>22</v>
      </c>
      <c r="B139">
        <v>18</v>
      </c>
      <c r="C139">
        <v>1</v>
      </c>
      <c r="D139">
        <v>5</v>
      </c>
      <c r="E139">
        <v>4</v>
      </c>
      <c r="F139">
        <v>5</v>
      </c>
      <c r="G139">
        <v>4</v>
      </c>
      <c r="H139">
        <v>5</v>
      </c>
      <c r="I139">
        <v>7</v>
      </c>
      <c r="J139">
        <v>4</v>
      </c>
      <c r="K139">
        <v>5</v>
      </c>
      <c r="L139">
        <v>6</v>
      </c>
      <c r="M139">
        <v>4</v>
      </c>
      <c r="N139">
        <v>4</v>
      </c>
      <c r="O139">
        <v>4</v>
      </c>
      <c r="P139">
        <v>4</v>
      </c>
      <c r="Q139">
        <v>7</v>
      </c>
      <c r="R139">
        <v>5</v>
      </c>
      <c r="S139">
        <v>4</v>
      </c>
      <c r="T139">
        <v>4</v>
      </c>
      <c r="U139">
        <v>6</v>
      </c>
      <c r="V139">
        <v>87</v>
      </c>
      <c r="W139">
        <v>-2</v>
      </c>
      <c r="X139" t="s">
        <v>88</v>
      </c>
      <c r="Y139">
        <v>4</v>
      </c>
    </row>
    <row r="140" spans="1:25" x14ac:dyDescent="0.25">
      <c r="A140" t="s">
        <v>22</v>
      </c>
      <c r="B140">
        <v>18</v>
      </c>
      <c r="C140">
        <v>1</v>
      </c>
      <c r="D140">
        <v>5</v>
      </c>
      <c r="E140">
        <v>4</v>
      </c>
      <c r="F140">
        <v>5</v>
      </c>
      <c r="G140">
        <v>4</v>
      </c>
      <c r="H140">
        <v>5</v>
      </c>
      <c r="I140">
        <v>7</v>
      </c>
      <c r="J140">
        <v>4</v>
      </c>
      <c r="K140">
        <v>5</v>
      </c>
      <c r="L140">
        <v>6</v>
      </c>
      <c r="M140">
        <v>4</v>
      </c>
      <c r="N140">
        <v>4</v>
      </c>
      <c r="O140">
        <v>4</v>
      </c>
      <c r="P140">
        <v>4</v>
      </c>
      <c r="Q140">
        <v>7</v>
      </c>
      <c r="R140">
        <v>5</v>
      </c>
      <c r="S140">
        <v>4</v>
      </c>
      <c r="T140">
        <v>4</v>
      </c>
      <c r="U140">
        <v>6</v>
      </c>
      <c r="V140">
        <v>87</v>
      </c>
      <c r="W140">
        <v>-2</v>
      </c>
      <c r="X140" t="s">
        <v>69</v>
      </c>
      <c r="Y140">
        <v>0</v>
      </c>
    </row>
    <row r="141" spans="1:25" x14ac:dyDescent="0.25">
      <c r="A141" t="s">
        <v>22</v>
      </c>
      <c r="B141">
        <v>18</v>
      </c>
      <c r="C141">
        <v>1</v>
      </c>
      <c r="D141">
        <v>5</v>
      </c>
      <c r="E141">
        <v>4</v>
      </c>
      <c r="F141">
        <v>5</v>
      </c>
      <c r="G141">
        <v>4</v>
      </c>
      <c r="H141">
        <v>5</v>
      </c>
      <c r="I141">
        <v>7</v>
      </c>
      <c r="J141">
        <v>4</v>
      </c>
      <c r="K141">
        <v>5</v>
      </c>
      <c r="L141">
        <v>6</v>
      </c>
      <c r="M141">
        <v>4</v>
      </c>
      <c r="N141">
        <v>4</v>
      </c>
      <c r="O141">
        <v>4</v>
      </c>
      <c r="P141">
        <v>4</v>
      </c>
      <c r="Q141">
        <v>7</v>
      </c>
      <c r="R141">
        <v>5</v>
      </c>
      <c r="S141">
        <v>4</v>
      </c>
      <c r="T141">
        <v>4</v>
      </c>
      <c r="U141">
        <v>6</v>
      </c>
      <c r="V141">
        <v>87</v>
      </c>
      <c r="W141">
        <v>-2</v>
      </c>
      <c r="X141" t="s">
        <v>89</v>
      </c>
      <c r="Y141">
        <v>0</v>
      </c>
    </row>
    <row r="142" spans="1:25" x14ac:dyDescent="0.25">
      <c r="A142" t="s">
        <v>28</v>
      </c>
      <c r="B142">
        <v>18</v>
      </c>
      <c r="C142">
        <v>2</v>
      </c>
      <c r="D142">
        <v>6</v>
      </c>
      <c r="E142">
        <v>5</v>
      </c>
      <c r="F142">
        <v>4</v>
      </c>
      <c r="G142">
        <v>4</v>
      </c>
      <c r="H142">
        <v>6</v>
      </c>
      <c r="I142">
        <v>5</v>
      </c>
      <c r="J142">
        <v>5</v>
      </c>
      <c r="K142">
        <v>4</v>
      </c>
      <c r="L142">
        <v>5</v>
      </c>
      <c r="M142">
        <v>4</v>
      </c>
      <c r="N142">
        <v>4</v>
      </c>
      <c r="O142">
        <v>5</v>
      </c>
      <c r="P142">
        <v>4</v>
      </c>
      <c r="Q142">
        <v>6</v>
      </c>
      <c r="R142">
        <v>5</v>
      </c>
      <c r="S142">
        <v>4</v>
      </c>
      <c r="T142">
        <v>4</v>
      </c>
      <c r="U142">
        <v>7</v>
      </c>
      <c r="V142">
        <v>87</v>
      </c>
      <c r="W142">
        <v>-2</v>
      </c>
      <c r="X142" t="s">
        <v>66</v>
      </c>
      <c r="Y142">
        <v>6</v>
      </c>
    </row>
    <row r="143" spans="1:25" x14ac:dyDescent="0.25">
      <c r="A143" t="s">
        <v>28</v>
      </c>
      <c r="B143">
        <v>18</v>
      </c>
      <c r="C143">
        <v>2</v>
      </c>
      <c r="D143">
        <v>6</v>
      </c>
      <c r="E143">
        <v>5</v>
      </c>
      <c r="F143">
        <v>4</v>
      </c>
      <c r="G143">
        <v>4</v>
      </c>
      <c r="H143">
        <v>6</v>
      </c>
      <c r="I143">
        <v>5</v>
      </c>
      <c r="J143">
        <v>5</v>
      </c>
      <c r="K143">
        <v>4</v>
      </c>
      <c r="L143">
        <v>5</v>
      </c>
      <c r="M143">
        <v>4</v>
      </c>
      <c r="N143">
        <v>4</v>
      </c>
      <c r="O143">
        <v>5</v>
      </c>
      <c r="P143">
        <v>4</v>
      </c>
      <c r="Q143">
        <v>6</v>
      </c>
      <c r="R143">
        <v>5</v>
      </c>
      <c r="S143">
        <v>4</v>
      </c>
      <c r="T143">
        <v>4</v>
      </c>
      <c r="U143">
        <v>7</v>
      </c>
      <c r="V143">
        <v>87</v>
      </c>
      <c r="W143">
        <v>-2</v>
      </c>
      <c r="X143" t="s">
        <v>65</v>
      </c>
      <c r="Y143">
        <v>0</v>
      </c>
    </row>
    <row r="144" spans="1:25" x14ac:dyDescent="0.25">
      <c r="A144" t="s">
        <v>28</v>
      </c>
      <c r="B144">
        <v>18</v>
      </c>
      <c r="C144">
        <v>2</v>
      </c>
      <c r="D144">
        <v>6</v>
      </c>
      <c r="E144">
        <v>5</v>
      </c>
      <c r="F144">
        <v>4</v>
      </c>
      <c r="G144">
        <v>4</v>
      </c>
      <c r="H144">
        <v>6</v>
      </c>
      <c r="I144">
        <v>5</v>
      </c>
      <c r="J144">
        <v>5</v>
      </c>
      <c r="K144">
        <v>4</v>
      </c>
      <c r="L144">
        <v>5</v>
      </c>
      <c r="M144">
        <v>4</v>
      </c>
      <c r="N144">
        <v>4</v>
      </c>
      <c r="O144">
        <v>5</v>
      </c>
      <c r="P144">
        <v>4</v>
      </c>
      <c r="Q144">
        <v>6</v>
      </c>
      <c r="R144">
        <v>5</v>
      </c>
      <c r="S144">
        <v>4</v>
      </c>
      <c r="T144">
        <v>4</v>
      </c>
      <c r="U144">
        <v>7</v>
      </c>
      <c r="V144">
        <v>87</v>
      </c>
      <c r="W144">
        <v>-2</v>
      </c>
      <c r="X144" t="s">
        <v>64</v>
      </c>
      <c r="Y144">
        <v>0</v>
      </c>
    </row>
    <row r="145" spans="1:25" x14ac:dyDescent="0.25">
      <c r="A145" t="s">
        <v>28</v>
      </c>
      <c r="B145">
        <v>18</v>
      </c>
      <c r="C145">
        <v>2</v>
      </c>
      <c r="D145">
        <v>6</v>
      </c>
      <c r="E145">
        <v>5</v>
      </c>
      <c r="F145">
        <v>4</v>
      </c>
      <c r="G145">
        <v>4</v>
      </c>
      <c r="H145">
        <v>6</v>
      </c>
      <c r="I145">
        <v>5</v>
      </c>
      <c r="J145">
        <v>5</v>
      </c>
      <c r="K145">
        <v>4</v>
      </c>
      <c r="L145">
        <v>5</v>
      </c>
      <c r="M145">
        <v>4</v>
      </c>
      <c r="N145">
        <v>4</v>
      </c>
      <c r="O145">
        <v>5</v>
      </c>
      <c r="P145">
        <v>4</v>
      </c>
      <c r="Q145">
        <v>6</v>
      </c>
      <c r="R145">
        <v>5</v>
      </c>
      <c r="S145">
        <v>4</v>
      </c>
      <c r="T145">
        <v>4</v>
      </c>
      <c r="U145">
        <v>7</v>
      </c>
      <c r="V145">
        <v>87</v>
      </c>
      <c r="W145">
        <v>-2</v>
      </c>
      <c r="X145" t="s">
        <v>67</v>
      </c>
      <c r="Y145">
        <v>9</v>
      </c>
    </row>
    <row r="146" spans="1:25" x14ac:dyDescent="0.25">
      <c r="A146" t="s">
        <v>28</v>
      </c>
      <c r="B146">
        <v>18</v>
      </c>
      <c r="C146">
        <v>2</v>
      </c>
      <c r="D146">
        <v>6</v>
      </c>
      <c r="E146">
        <v>5</v>
      </c>
      <c r="F146">
        <v>4</v>
      </c>
      <c r="G146">
        <v>4</v>
      </c>
      <c r="H146">
        <v>6</v>
      </c>
      <c r="I146">
        <v>5</v>
      </c>
      <c r="J146">
        <v>5</v>
      </c>
      <c r="K146">
        <v>4</v>
      </c>
      <c r="L146">
        <v>5</v>
      </c>
      <c r="M146">
        <v>4</v>
      </c>
      <c r="N146">
        <v>4</v>
      </c>
      <c r="O146">
        <v>5</v>
      </c>
      <c r="P146">
        <v>4</v>
      </c>
      <c r="Q146">
        <v>6</v>
      </c>
      <c r="R146">
        <v>5</v>
      </c>
      <c r="S146">
        <v>4</v>
      </c>
      <c r="T146">
        <v>4</v>
      </c>
      <c r="U146">
        <v>7</v>
      </c>
      <c r="V146">
        <v>87</v>
      </c>
      <c r="W146">
        <v>-2</v>
      </c>
      <c r="X146" t="s">
        <v>88</v>
      </c>
      <c r="Y146">
        <v>2</v>
      </c>
    </row>
    <row r="147" spans="1:25" x14ac:dyDescent="0.25">
      <c r="A147" t="s">
        <v>28</v>
      </c>
      <c r="B147">
        <v>18</v>
      </c>
      <c r="C147">
        <v>2</v>
      </c>
      <c r="D147">
        <v>6</v>
      </c>
      <c r="E147">
        <v>5</v>
      </c>
      <c r="F147">
        <v>4</v>
      </c>
      <c r="G147">
        <v>4</v>
      </c>
      <c r="H147">
        <v>6</v>
      </c>
      <c r="I147">
        <v>5</v>
      </c>
      <c r="J147">
        <v>5</v>
      </c>
      <c r="K147">
        <v>4</v>
      </c>
      <c r="L147">
        <v>5</v>
      </c>
      <c r="M147">
        <v>4</v>
      </c>
      <c r="N147">
        <v>4</v>
      </c>
      <c r="O147">
        <v>5</v>
      </c>
      <c r="P147">
        <v>4</v>
      </c>
      <c r="Q147">
        <v>6</v>
      </c>
      <c r="R147">
        <v>5</v>
      </c>
      <c r="S147">
        <v>4</v>
      </c>
      <c r="T147">
        <v>4</v>
      </c>
      <c r="U147">
        <v>7</v>
      </c>
      <c r="V147">
        <v>87</v>
      </c>
      <c r="W147">
        <v>-2</v>
      </c>
      <c r="X147" t="s">
        <v>69</v>
      </c>
      <c r="Y147">
        <v>1</v>
      </c>
    </row>
    <row r="148" spans="1:25" x14ac:dyDescent="0.25">
      <c r="A148" t="s">
        <v>28</v>
      </c>
      <c r="B148">
        <v>18</v>
      </c>
      <c r="C148">
        <v>2</v>
      </c>
      <c r="D148">
        <v>6</v>
      </c>
      <c r="E148">
        <v>5</v>
      </c>
      <c r="F148">
        <v>4</v>
      </c>
      <c r="G148">
        <v>4</v>
      </c>
      <c r="H148">
        <v>6</v>
      </c>
      <c r="I148">
        <v>5</v>
      </c>
      <c r="J148">
        <v>5</v>
      </c>
      <c r="K148">
        <v>4</v>
      </c>
      <c r="L148">
        <v>5</v>
      </c>
      <c r="M148">
        <v>4</v>
      </c>
      <c r="N148">
        <v>4</v>
      </c>
      <c r="O148">
        <v>5</v>
      </c>
      <c r="P148">
        <v>4</v>
      </c>
      <c r="Q148">
        <v>6</v>
      </c>
      <c r="R148">
        <v>5</v>
      </c>
      <c r="S148">
        <v>4</v>
      </c>
      <c r="T148">
        <v>4</v>
      </c>
      <c r="U148">
        <v>7</v>
      </c>
      <c r="V148">
        <v>87</v>
      </c>
      <c r="W148">
        <v>-2</v>
      </c>
      <c r="X148" t="s">
        <v>89</v>
      </c>
      <c r="Y148">
        <v>0</v>
      </c>
    </row>
    <row r="149" spans="1:25" x14ac:dyDescent="0.25">
      <c r="A149" t="s">
        <v>31</v>
      </c>
      <c r="B149">
        <v>18</v>
      </c>
      <c r="C149">
        <v>2</v>
      </c>
      <c r="D149">
        <v>6</v>
      </c>
      <c r="E149">
        <v>5</v>
      </c>
      <c r="F149">
        <v>4</v>
      </c>
      <c r="G149">
        <v>3</v>
      </c>
      <c r="H149">
        <v>3</v>
      </c>
      <c r="I149">
        <v>5</v>
      </c>
      <c r="J149">
        <v>5</v>
      </c>
      <c r="K149">
        <v>6</v>
      </c>
      <c r="L149">
        <v>5</v>
      </c>
      <c r="M149">
        <v>6</v>
      </c>
      <c r="N149">
        <v>5</v>
      </c>
      <c r="O149">
        <v>4</v>
      </c>
      <c r="P149">
        <v>5</v>
      </c>
      <c r="Q149">
        <v>6</v>
      </c>
      <c r="R149">
        <v>5</v>
      </c>
      <c r="S149">
        <v>4</v>
      </c>
      <c r="T149">
        <v>5</v>
      </c>
      <c r="U149">
        <v>5</v>
      </c>
      <c r="V149">
        <v>87</v>
      </c>
      <c r="W149">
        <v>-2</v>
      </c>
      <c r="X149" t="s">
        <v>66</v>
      </c>
      <c r="Y149">
        <v>4</v>
      </c>
    </row>
    <row r="150" spans="1:25" x14ac:dyDescent="0.25">
      <c r="A150" t="s">
        <v>31</v>
      </c>
      <c r="B150">
        <v>18</v>
      </c>
      <c r="C150">
        <v>2</v>
      </c>
      <c r="D150">
        <v>6</v>
      </c>
      <c r="E150">
        <v>5</v>
      </c>
      <c r="F150">
        <v>4</v>
      </c>
      <c r="G150">
        <v>3</v>
      </c>
      <c r="H150">
        <v>3</v>
      </c>
      <c r="I150">
        <v>5</v>
      </c>
      <c r="J150">
        <v>5</v>
      </c>
      <c r="K150">
        <v>6</v>
      </c>
      <c r="L150">
        <v>5</v>
      </c>
      <c r="M150">
        <v>6</v>
      </c>
      <c r="N150">
        <v>5</v>
      </c>
      <c r="O150">
        <v>4</v>
      </c>
      <c r="P150">
        <v>5</v>
      </c>
      <c r="Q150">
        <v>6</v>
      </c>
      <c r="R150">
        <v>5</v>
      </c>
      <c r="S150">
        <v>4</v>
      </c>
      <c r="T150">
        <v>5</v>
      </c>
      <c r="U150">
        <v>5</v>
      </c>
      <c r="V150">
        <v>87</v>
      </c>
      <c r="W150">
        <v>-2</v>
      </c>
      <c r="X150" t="s">
        <v>65</v>
      </c>
      <c r="Y150">
        <v>1</v>
      </c>
    </row>
    <row r="151" spans="1:25" x14ac:dyDescent="0.25">
      <c r="A151" t="s">
        <v>31</v>
      </c>
      <c r="B151">
        <v>18</v>
      </c>
      <c r="C151">
        <v>2</v>
      </c>
      <c r="D151">
        <v>6</v>
      </c>
      <c r="E151">
        <v>5</v>
      </c>
      <c r="F151">
        <v>4</v>
      </c>
      <c r="G151">
        <v>3</v>
      </c>
      <c r="H151">
        <v>3</v>
      </c>
      <c r="I151">
        <v>5</v>
      </c>
      <c r="J151">
        <v>5</v>
      </c>
      <c r="K151">
        <v>6</v>
      </c>
      <c r="L151">
        <v>5</v>
      </c>
      <c r="M151">
        <v>6</v>
      </c>
      <c r="N151">
        <v>5</v>
      </c>
      <c r="O151">
        <v>4</v>
      </c>
      <c r="P151">
        <v>5</v>
      </c>
      <c r="Q151">
        <v>6</v>
      </c>
      <c r="R151">
        <v>5</v>
      </c>
      <c r="S151">
        <v>4</v>
      </c>
      <c r="T151">
        <v>5</v>
      </c>
      <c r="U151">
        <v>5</v>
      </c>
      <c r="V151">
        <v>87</v>
      </c>
      <c r="W151">
        <v>-2</v>
      </c>
      <c r="X151" t="s">
        <v>64</v>
      </c>
      <c r="Y151">
        <v>0</v>
      </c>
    </row>
    <row r="152" spans="1:25" x14ac:dyDescent="0.25">
      <c r="A152" t="s">
        <v>31</v>
      </c>
      <c r="B152">
        <v>18</v>
      </c>
      <c r="C152">
        <v>2</v>
      </c>
      <c r="D152">
        <v>6</v>
      </c>
      <c r="E152">
        <v>5</v>
      </c>
      <c r="F152">
        <v>4</v>
      </c>
      <c r="G152">
        <v>3</v>
      </c>
      <c r="H152">
        <v>3</v>
      </c>
      <c r="I152">
        <v>5</v>
      </c>
      <c r="J152">
        <v>5</v>
      </c>
      <c r="K152">
        <v>6</v>
      </c>
      <c r="L152">
        <v>5</v>
      </c>
      <c r="M152">
        <v>6</v>
      </c>
      <c r="N152">
        <v>5</v>
      </c>
      <c r="O152">
        <v>4</v>
      </c>
      <c r="P152">
        <v>5</v>
      </c>
      <c r="Q152">
        <v>6</v>
      </c>
      <c r="R152">
        <v>5</v>
      </c>
      <c r="S152">
        <v>4</v>
      </c>
      <c r="T152">
        <v>5</v>
      </c>
      <c r="U152">
        <v>5</v>
      </c>
      <c r="V152">
        <v>87</v>
      </c>
      <c r="W152">
        <v>-2</v>
      </c>
      <c r="X152" t="s">
        <v>67</v>
      </c>
      <c r="Y152">
        <v>9</v>
      </c>
    </row>
    <row r="153" spans="1:25" x14ac:dyDescent="0.25">
      <c r="A153" t="s">
        <v>31</v>
      </c>
      <c r="B153">
        <v>18</v>
      </c>
      <c r="C153">
        <v>2</v>
      </c>
      <c r="D153">
        <v>6</v>
      </c>
      <c r="E153">
        <v>5</v>
      </c>
      <c r="F153">
        <v>4</v>
      </c>
      <c r="G153">
        <v>3</v>
      </c>
      <c r="H153">
        <v>3</v>
      </c>
      <c r="I153">
        <v>5</v>
      </c>
      <c r="J153">
        <v>5</v>
      </c>
      <c r="K153">
        <v>6</v>
      </c>
      <c r="L153">
        <v>5</v>
      </c>
      <c r="M153">
        <v>6</v>
      </c>
      <c r="N153">
        <v>5</v>
      </c>
      <c r="O153">
        <v>4</v>
      </c>
      <c r="P153">
        <v>5</v>
      </c>
      <c r="Q153">
        <v>6</v>
      </c>
      <c r="R153">
        <v>5</v>
      </c>
      <c r="S153">
        <v>4</v>
      </c>
      <c r="T153">
        <v>5</v>
      </c>
      <c r="U153">
        <v>5</v>
      </c>
      <c r="V153">
        <v>87</v>
      </c>
      <c r="W153">
        <v>-2</v>
      </c>
      <c r="X153" t="s">
        <v>88</v>
      </c>
      <c r="Y153">
        <v>4</v>
      </c>
    </row>
    <row r="154" spans="1:25" x14ac:dyDescent="0.25">
      <c r="A154" t="s">
        <v>31</v>
      </c>
      <c r="B154">
        <v>18</v>
      </c>
      <c r="C154">
        <v>2</v>
      </c>
      <c r="D154">
        <v>6</v>
      </c>
      <c r="E154">
        <v>5</v>
      </c>
      <c r="F154">
        <v>4</v>
      </c>
      <c r="G154">
        <v>3</v>
      </c>
      <c r="H154">
        <v>3</v>
      </c>
      <c r="I154">
        <v>5</v>
      </c>
      <c r="J154">
        <v>5</v>
      </c>
      <c r="K154">
        <v>6</v>
      </c>
      <c r="L154">
        <v>5</v>
      </c>
      <c r="M154">
        <v>6</v>
      </c>
      <c r="N154">
        <v>5</v>
      </c>
      <c r="O154">
        <v>4</v>
      </c>
      <c r="P154">
        <v>5</v>
      </c>
      <c r="Q154">
        <v>6</v>
      </c>
      <c r="R154">
        <v>5</v>
      </c>
      <c r="S154">
        <v>4</v>
      </c>
      <c r="T154">
        <v>5</v>
      </c>
      <c r="U154">
        <v>5</v>
      </c>
      <c r="V154">
        <v>87</v>
      </c>
      <c r="W154">
        <v>-2</v>
      </c>
      <c r="X154" t="s">
        <v>69</v>
      </c>
      <c r="Y154">
        <v>0</v>
      </c>
    </row>
    <row r="155" spans="1:25" x14ac:dyDescent="0.25">
      <c r="A155" t="s">
        <v>31</v>
      </c>
      <c r="B155">
        <v>18</v>
      </c>
      <c r="C155">
        <v>2</v>
      </c>
      <c r="D155">
        <v>6</v>
      </c>
      <c r="E155">
        <v>5</v>
      </c>
      <c r="F155">
        <v>4</v>
      </c>
      <c r="G155">
        <v>3</v>
      </c>
      <c r="H155">
        <v>3</v>
      </c>
      <c r="I155">
        <v>5</v>
      </c>
      <c r="J155">
        <v>5</v>
      </c>
      <c r="K155">
        <v>6</v>
      </c>
      <c r="L155">
        <v>5</v>
      </c>
      <c r="M155">
        <v>6</v>
      </c>
      <c r="N155">
        <v>5</v>
      </c>
      <c r="O155">
        <v>4</v>
      </c>
      <c r="P155">
        <v>5</v>
      </c>
      <c r="Q155">
        <v>6</v>
      </c>
      <c r="R155">
        <v>5</v>
      </c>
      <c r="S155">
        <v>4</v>
      </c>
      <c r="T155">
        <v>5</v>
      </c>
      <c r="U155">
        <v>5</v>
      </c>
      <c r="V155">
        <v>87</v>
      </c>
      <c r="W155">
        <v>-2</v>
      </c>
      <c r="X155" t="s">
        <v>89</v>
      </c>
      <c r="Y155">
        <v>0</v>
      </c>
    </row>
    <row r="156" spans="1:25" x14ac:dyDescent="0.25">
      <c r="A156" t="s">
        <v>36</v>
      </c>
      <c r="B156">
        <v>14</v>
      </c>
      <c r="C156">
        <v>2</v>
      </c>
      <c r="D156">
        <v>5</v>
      </c>
      <c r="E156">
        <v>5</v>
      </c>
      <c r="F156">
        <v>6</v>
      </c>
      <c r="G156">
        <v>4</v>
      </c>
      <c r="H156">
        <v>4</v>
      </c>
      <c r="I156">
        <v>4</v>
      </c>
      <c r="J156">
        <v>5</v>
      </c>
      <c r="K156">
        <v>5</v>
      </c>
      <c r="L156">
        <v>5</v>
      </c>
      <c r="M156">
        <v>6</v>
      </c>
      <c r="N156">
        <v>4</v>
      </c>
      <c r="O156">
        <v>5</v>
      </c>
      <c r="P156">
        <v>5</v>
      </c>
      <c r="Q156">
        <v>6</v>
      </c>
      <c r="R156">
        <v>5</v>
      </c>
      <c r="S156">
        <v>3</v>
      </c>
      <c r="T156">
        <v>6</v>
      </c>
      <c r="U156">
        <v>5</v>
      </c>
      <c r="V156">
        <v>88</v>
      </c>
      <c r="W156">
        <v>3</v>
      </c>
      <c r="X156" t="s">
        <v>66</v>
      </c>
      <c r="Y156">
        <v>3</v>
      </c>
    </row>
    <row r="157" spans="1:25" x14ac:dyDescent="0.25">
      <c r="A157" t="s">
        <v>36</v>
      </c>
      <c r="B157">
        <v>14</v>
      </c>
      <c r="C157">
        <v>2</v>
      </c>
      <c r="D157">
        <v>5</v>
      </c>
      <c r="E157">
        <v>5</v>
      </c>
      <c r="F157">
        <v>6</v>
      </c>
      <c r="G157">
        <v>4</v>
      </c>
      <c r="H157">
        <v>4</v>
      </c>
      <c r="I157">
        <v>4</v>
      </c>
      <c r="J157">
        <v>5</v>
      </c>
      <c r="K157">
        <v>5</v>
      </c>
      <c r="L157">
        <v>5</v>
      </c>
      <c r="M157">
        <v>6</v>
      </c>
      <c r="N157">
        <v>4</v>
      </c>
      <c r="O157">
        <v>5</v>
      </c>
      <c r="P157">
        <v>5</v>
      </c>
      <c r="Q157">
        <v>6</v>
      </c>
      <c r="R157">
        <v>5</v>
      </c>
      <c r="S157">
        <v>3</v>
      </c>
      <c r="T157">
        <v>6</v>
      </c>
      <c r="U157">
        <v>5</v>
      </c>
      <c r="V157">
        <v>88</v>
      </c>
      <c r="W157">
        <v>3</v>
      </c>
      <c r="X157" t="s">
        <v>65</v>
      </c>
      <c r="Y157">
        <v>1</v>
      </c>
    </row>
    <row r="158" spans="1:25" x14ac:dyDescent="0.25">
      <c r="A158" t="s">
        <v>36</v>
      </c>
      <c r="B158">
        <v>14</v>
      </c>
      <c r="C158">
        <v>2</v>
      </c>
      <c r="D158">
        <v>5</v>
      </c>
      <c r="E158">
        <v>5</v>
      </c>
      <c r="F158">
        <v>6</v>
      </c>
      <c r="G158">
        <v>4</v>
      </c>
      <c r="H158">
        <v>4</v>
      </c>
      <c r="I158">
        <v>4</v>
      </c>
      <c r="J158">
        <v>5</v>
      </c>
      <c r="K158">
        <v>5</v>
      </c>
      <c r="L158">
        <v>5</v>
      </c>
      <c r="M158">
        <v>6</v>
      </c>
      <c r="N158">
        <v>4</v>
      </c>
      <c r="O158">
        <v>5</v>
      </c>
      <c r="P158">
        <v>5</v>
      </c>
      <c r="Q158">
        <v>6</v>
      </c>
      <c r="R158">
        <v>5</v>
      </c>
      <c r="S158">
        <v>3</v>
      </c>
      <c r="T158">
        <v>6</v>
      </c>
      <c r="U158">
        <v>5</v>
      </c>
      <c r="V158">
        <v>88</v>
      </c>
      <c r="W158">
        <v>3</v>
      </c>
      <c r="X158" t="s">
        <v>64</v>
      </c>
      <c r="Y158">
        <v>0</v>
      </c>
    </row>
    <row r="159" spans="1:25" x14ac:dyDescent="0.25">
      <c r="A159" t="s">
        <v>36</v>
      </c>
      <c r="B159">
        <v>14</v>
      </c>
      <c r="C159">
        <v>2</v>
      </c>
      <c r="D159">
        <v>5</v>
      </c>
      <c r="E159">
        <v>5</v>
      </c>
      <c r="F159">
        <v>6</v>
      </c>
      <c r="G159">
        <v>4</v>
      </c>
      <c r="H159">
        <v>4</v>
      </c>
      <c r="I159">
        <v>4</v>
      </c>
      <c r="J159">
        <v>5</v>
      </c>
      <c r="K159">
        <v>5</v>
      </c>
      <c r="L159">
        <v>5</v>
      </c>
      <c r="M159">
        <v>6</v>
      </c>
      <c r="N159">
        <v>4</v>
      </c>
      <c r="O159">
        <v>5</v>
      </c>
      <c r="P159">
        <v>5</v>
      </c>
      <c r="Q159">
        <v>6</v>
      </c>
      <c r="R159">
        <v>5</v>
      </c>
      <c r="S159">
        <v>3</v>
      </c>
      <c r="T159">
        <v>6</v>
      </c>
      <c r="U159">
        <v>5</v>
      </c>
      <c r="V159">
        <v>88</v>
      </c>
      <c r="W159">
        <v>3</v>
      </c>
      <c r="X159" t="s">
        <v>67</v>
      </c>
      <c r="Y159">
        <v>10</v>
      </c>
    </row>
    <row r="160" spans="1:25" x14ac:dyDescent="0.25">
      <c r="A160" t="s">
        <v>36</v>
      </c>
      <c r="B160">
        <v>14</v>
      </c>
      <c r="C160">
        <v>2</v>
      </c>
      <c r="D160">
        <v>5</v>
      </c>
      <c r="E160">
        <v>5</v>
      </c>
      <c r="F160">
        <v>6</v>
      </c>
      <c r="G160">
        <v>4</v>
      </c>
      <c r="H160">
        <v>4</v>
      </c>
      <c r="I160">
        <v>4</v>
      </c>
      <c r="J160">
        <v>5</v>
      </c>
      <c r="K160">
        <v>5</v>
      </c>
      <c r="L160">
        <v>5</v>
      </c>
      <c r="M160">
        <v>6</v>
      </c>
      <c r="N160">
        <v>4</v>
      </c>
      <c r="O160">
        <v>5</v>
      </c>
      <c r="P160">
        <v>5</v>
      </c>
      <c r="Q160">
        <v>6</v>
      </c>
      <c r="R160">
        <v>5</v>
      </c>
      <c r="S160">
        <v>3</v>
      </c>
      <c r="T160">
        <v>6</v>
      </c>
      <c r="U160">
        <v>5</v>
      </c>
      <c r="V160">
        <v>88</v>
      </c>
      <c r="W160">
        <v>3</v>
      </c>
      <c r="X160" t="s">
        <v>88</v>
      </c>
      <c r="Y160">
        <v>4</v>
      </c>
    </row>
    <row r="161" spans="1:25" x14ac:dyDescent="0.25">
      <c r="A161" t="s">
        <v>36</v>
      </c>
      <c r="B161">
        <v>14</v>
      </c>
      <c r="C161">
        <v>2</v>
      </c>
      <c r="D161">
        <v>5</v>
      </c>
      <c r="E161">
        <v>5</v>
      </c>
      <c r="F161">
        <v>6</v>
      </c>
      <c r="G161">
        <v>4</v>
      </c>
      <c r="H161">
        <v>4</v>
      </c>
      <c r="I161">
        <v>4</v>
      </c>
      <c r="J161">
        <v>5</v>
      </c>
      <c r="K161">
        <v>5</v>
      </c>
      <c r="L161">
        <v>5</v>
      </c>
      <c r="M161">
        <v>6</v>
      </c>
      <c r="N161">
        <v>4</v>
      </c>
      <c r="O161">
        <v>5</v>
      </c>
      <c r="P161">
        <v>5</v>
      </c>
      <c r="Q161">
        <v>6</v>
      </c>
      <c r="R161">
        <v>5</v>
      </c>
      <c r="S161">
        <v>3</v>
      </c>
      <c r="T161">
        <v>6</v>
      </c>
      <c r="U161">
        <v>5</v>
      </c>
      <c r="V161">
        <v>88</v>
      </c>
      <c r="W161">
        <v>3</v>
      </c>
      <c r="X161" t="s">
        <v>69</v>
      </c>
      <c r="Y161">
        <v>0</v>
      </c>
    </row>
    <row r="162" spans="1:25" x14ac:dyDescent="0.25">
      <c r="A162" t="s">
        <v>36</v>
      </c>
      <c r="B162">
        <v>14</v>
      </c>
      <c r="C162">
        <v>2</v>
      </c>
      <c r="D162">
        <v>5</v>
      </c>
      <c r="E162">
        <v>5</v>
      </c>
      <c r="F162">
        <v>6</v>
      </c>
      <c r="G162">
        <v>4</v>
      </c>
      <c r="H162">
        <v>4</v>
      </c>
      <c r="I162">
        <v>4</v>
      </c>
      <c r="J162">
        <v>5</v>
      </c>
      <c r="K162">
        <v>5</v>
      </c>
      <c r="L162">
        <v>5</v>
      </c>
      <c r="M162">
        <v>6</v>
      </c>
      <c r="N162">
        <v>4</v>
      </c>
      <c r="O162">
        <v>5</v>
      </c>
      <c r="P162">
        <v>5</v>
      </c>
      <c r="Q162">
        <v>6</v>
      </c>
      <c r="R162">
        <v>5</v>
      </c>
      <c r="S162">
        <v>3</v>
      </c>
      <c r="T162">
        <v>6</v>
      </c>
      <c r="U162">
        <v>5</v>
      </c>
      <c r="V162">
        <v>88</v>
      </c>
      <c r="W162">
        <v>3</v>
      </c>
      <c r="X162" t="s">
        <v>89</v>
      </c>
      <c r="Y162">
        <v>0</v>
      </c>
    </row>
    <row r="163" spans="1:25" x14ac:dyDescent="0.25">
      <c r="A163" t="s">
        <v>51</v>
      </c>
      <c r="B163">
        <v>15</v>
      </c>
      <c r="C163">
        <v>1</v>
      </c>
      <c r="D163">
        <v>4</v>
      </c>
      <c r="E163">
        <v>4</v>
      </c>
      <c r="F163">
        <v>5</v>
      </c>
      <c r="G163">
        <v>3</v>
      </c>
      <c r="H163">
        <v>6</v>
      </c>
      <c r="I163">
        <v>3</v>
      </c>
      <c r="J163">
        <v>5</v>
      </c>
      <c r="K163">
        <v>5</v>
      </c>
      <c r="L163">
        <v>6</v>
      </c>
      <c r="M163">
        <v>9</v>
      </c>
      <c r="N163">
        <v>3</v>
      </c>
      <c r="O163">
        <v>7</v>
      </c>
      <c r="P163">
        <v>3</v>
      </c>
      <c r="Q163">
        <v>5</v>
      </c>
      <c r="R163">
        <v>6</v>
      </c>
      <c r="S163">
        <v>3</v>
      </c>
      <c r="T163">
        <v>5</v>
      </c>
      <c r="U163">
        <v>6</v>
      </c>
      <c r="V163">
        <v>88</v>
      </c>
      <c r="W163">
        <v>2</v>
      </c>
      <c r="X163" t="s">
        <v>66</v>
      </c>
      <c r="Y163">
        <v>5</v>
      </c>
    </row>
    <row r="164" spans="1:25" x14ac:dyDescent="0.25">
      <c r="A164" t="s">
        <v>51</v>
      </c>
      <c r="B164">
        <v>15</v>
      </c>
      <c r="C164">
        <v>1</v>
      </c>
      <c r="D164">
        <v>4</v>
      </c>
      <c r="E164">
        <v>4</v>
      </c>
      <c r="F164">
        <v>5</v>
      </c>
      <c r="G164">
        <v>3</v>
      </c>
      <c r="H164">
        <v>6</v>
      </c>
      <c r="I164">
        <v>3</v>
      </c>
      <c r="J164">
        <v>5</v>
      </c>
      <c r="K164">
        <v>5</v>
      </c>
      <c r="L164">
        <v>6</v>
      </c>
      <c r="M164">
        <v>9</v>
      </c>
      <c r="N164">
        <v>3</v>
      </c>
      <c r="O164">
        <v>7</v>
      </c>
      <c r="P164">
        <v>3</v>
      </c>
      <c r="Q164">
        <v>5</v>
      </c>
      <c r="R164">
        <v>6</v>
      </c>
      <c r="S164">
        <v>3</v>
      </c>
      <c r="T164">
        <v>5</v>
      </c>
      <c r="U164">
        <v>6</v>
      </c>
      <c r="V164">
        <v>88</v>
      </c>
      <c r="W164">
        <v>2</v>
      </c>
      <c r="X164" t="s">
        <v>65</v>
      </c>
      <c r="Y164">
        <v>2</v>
      </c>
    </row>
    <row r="165" spans="1:25" x14ac:dyDescent="0.25">
      <c r="A165" t="s">
        <v>51</v>
      </c>
      <c r="B165">
        <v>15</v>
      </c>
      <c r="C165">
        <v>1</v>
      </c>
      <c r="D165">
        <v>4</v>
      </c>
      <c r="E165">
        <v>4</v>
      </c>
      <c r="F165">
        <v>5</v>
      </c>
      <c r="G165">
        <v>3</v>
      </c>
      <c r="H165">
        <v>6</v>
      </c>
      <c r="I165">
        <v>3</v>
      </c>
      <c r="J165">
        <v>5</v>
      </c>
      <c r="K165">
        <v>5</v>
      </c>
      <c r="L165">
        <v>6</v>
      </c>
      <c r="M165">
        <v>9</v>
      </c>
      <c r="N165">
        <v>3</v>
      </c>
      <c r="O165">
        <v>7</v>
      </c>
      <c r="P165">
        <v>3</v>
      </c>
      <c r="Q165">
        <v>5</v>
      </c>
      <c r="R165">
        <v>6</v>
      </c>
      <c r="S165">
        <v>3</v>
      </c>
      <c r="T165">
        <v>5</v>
      </c>
      <c r="U165">
        <v>6</v>
      </c>
      <c r="V165">
        <v>88</v>
      </c>
      <c r="W165">
        <v>2</v>
      </c>
      <c r="X165" t="s">
        <v>64</v>
      </c>
      <c r="Y165">
        <v>1</v>
      </c>
    </row>
    <row r="166" spans="1:25" x14ac:dyDescent="0.25">
      <c r="A166" t="s">
        <v>51</v>
      </c>
      <c r="B166">
        <v>15</v>
      </c>
      <c r="C166">
        <v>1</v>
      </c>
      <c r="D166">
        <v>4</v>
      </c>
      <c r="E166">
        <v>4</v>
      </c>
      <c r="F166">
        <v>5</v>
      </c>
      <c r="G166">
        <v>3</v>
      </c>
      <c r="H166">
        <v>6</v>
      </c>
      <c r="I166">
        <v>3</v>
      </c>
      <c r="J166">
        <v>5</v>
      </c>
      <c r="K166">
        <v>5</v>
      </c>
      <c r="L166">
        <v>6</v>
      </c>
      <c r="M166">
        <v>9</v>
      </c>
      <c r="N166">
        <v>3</v>
      </c>
      <c r="O166">
        <v>7</v>
      </c>
      <c r="P166">
        <v>3</v>
      </c>
      <c r="Q166">
        <v>5</v>
      </c>
      <c r="R166">
        <v>6</v>
      </c>
      <c r="S166">
        <v>3</v>
      </c>
      <c r="T166">
        <v>5</v>
      </c>
      <c r="U166">
        <v>6</v>
      </c>
      <c r="V166">
        <v>88</v>
      </c>
      <c r="W166">
        <v>2</v>
      </c>
      <c r="X166" t="s">
        <v>67</v>
      </c>
      <c r="Y166">
        <v>3</v>
      </c>
    </row>
    <row r="167" spans="1:25" x14ac:dyDescent="0.25">
      <c r="A167" t="s">
        <v>51</v>
      </c>
      <c r="B167">
        <v>15</v>
      </c>
      <c r="C167">
        <v>1</v>
      </c>
      <c r="D167">
        <v>4</v>
      </c>
      <c r="E167">
        <v>4</v>
      </c>
      <c r="F167">
        <v>5</v>
      </c>
      <c r="G167">
        <v>3</v>
      </c>
      <c r="H167">
        <v>6</v>
      </c>
      <c r="I167">
        <v>3</v>
      </c>
      <c r="J167">
        <v>5</v>
      </c>
      <c r="K167">
        <v>5</v>
      </c>
      <c r="L167">
        <v>6</v>
      </c>
      <c r="M167">
        <v>9</v>
      </c>
      <c r="N167">
        <v>3</v>
      </c>
      <c r="O167">
        <v>7</v>
      </c>
      <c r="P167">
        <v>3</v>
      </c>
      <c r="Q167">
        <v>5</v>
      </c>
      <c r="R167">
        <v>6</v>
      </c>
      <c r="S167">
        <v>3</v>
      </c>
      <c r="T167">
        <v>5</v>
      </c>
      <c r="U167">
        <v>6</v>
      </c>
      <c r="V167">
        <v>88</v>
      </c>
      <c r="W167">
        <v>2</v>
      </c>
      <c r="X167" t="s">
        <v>88</v>
      </c>
      <c r="Y167">
        <v>5</v>
      </c>
    </row>
    <row r="168" spans="1:25" x14ac:dyDescent="0.25">
      <c r="A168" t="s">
        <v>51</v>
      </c>
      <c r="B168">
        <v>15</v>
      </c>
      <c r="C168">
        <v>1</v>
      </c>
      <c r="D168">
        <v>4</v>
      </c>
      <c r="E168">
        <v>4</v>
      </c>
      <c r="F168">
        <v>5</v>
      </c>
      <c r="G168">
        <v>3</v>
      </c>
      <c r="H168">
        <v>6</v>
      </c>
      <c r="I168">
        <v>3</v>
      </c>
      <c r="J168">
        <v>5</v>
      </c>
      <c r="K168">
        <v>5</v>
      </c>
      <c r="L168">
        <v>6</v>
      </c>
      <c r="M168">
        <v>9</v>
      </c>
      <c r="N168">
        <v>3</v>
      </c>
      <c r="O168">
        <v>7</v>
      </c>
      <c r="P168">
        <v>3</v>
      </c>
      <c r="Q168">
        <v>5</v>
      </c>
      <c r="R168">
        <v>6</v>
      </c>
      <c r="S168">
        <v>3</v>
      </c>
      <c r="T168">
        <v>5</v>
      </c>
      <c r="U168">
        <v>6</v>
      </c>
      <c r="V168">
        <v>88</v>
      </c>
      <c r="W168">
        <v>2</v>
      </c>
      <c r="X168" t="s">
        <v>69</v>
      </c>
      <c r="Y168">
        <v>1</v>
      </c>
    </row>
    <row r="169" spans="1:25" x14ac:dyDescent="0.25">
      <c r="A169" t="s">
        <v>51</v>
      </c>
      <c r="B169">
        <v>15</v>
      </c>
      <c r="C169">
        <v>1</v>
      </c>
      <c r="D169">
        <v>4</v>
      </c>
      <c r="E169">
        <v>4</v>
      </c>
      <c r="F169">
        <v>5</v>
      </c>
      <c r="G169">
        <v>3</v>
      </c>
      <c r="H169">
        <v>6</v>
      </c>
      <c r="I169">
        <v>3</v>
      </c>
      <c r="J169">
        <v>5</v>
      </c>
      <c r="K169">
        <v>5</v>
      </c>
      <c r="L169">
        <v>6</v>
      </c>
      <c r="M169">
        <v>9</v>
      </c>
      <c r="N169">
        <v>3</v>
      </c>
      <c r="O169">
        <v>7</v>
      </c>
      <c r="P169">
        <v>3</v>
      </c>
      <c r="Q169">
        <v>5</v>
      </c>
      <c r="R169">
        <v>6</v>
      </c>
      <c r="S169">
        <v>3</v>
      </c>
      <c r="T169">
        <v>5</v>
      </c>
      <c r="U169">
        <v>6</v>
      </c>
      <c r="V169">
        <v>88</v>
      </c>
      <c r="W169">
        <v>2</v>
      </c>
      <c r="X169" t="s">
        <v>89</v>
      </c>
      <c r="Y169">
        <v>1</v>
      </c>
    </row>
    <row r="170" spans="1:25" x14ac:dyDescent="0.25">
      <c r="A170" t="s">
        <v>26</v>
      </c>
      <c r="B170">
        <v>16</v>
      </c>
      <c r="C170">
        <v>1</v>
      </c>
      <c r="D170">
        <v>7</v>
      </c>
      <c r="E170">
        <v>5</v>
      </c>
      <c r="F170">
        <v>5</v>
      </c>
      <c r="G170">
        <v>4</v>
      </c>
      <c r="H170">
        <v>5</v>
      </c>
      <c r="I170">
        <v>3</v>
      </c>
      <c r="J170">
        <v>4</v>
      </c>
      <c r="K170">
        <v>4</v>
      </c>
      <c r="L170">
        <v>6</v>
      </c>
      <c r="M170">
        <v>4</v>
      </c>
      <c r="N170">
        <v>4</v>
      </c>
      <c r="O170">
        <v>8</v>
      </c>
      <c r="P170">
        <v>5</v>
      </c>
      <c r="Q170">
        <v>6</v>
      </c>
      <c r="R170">
        <v>5</v>
      </c>
      <c r="S170">
        <v>3</v>
      </c>
      <c r="T170">
        <v>6</v>
      </c>
      <c r="U170">
        <v>4</v>
      </c>
      <c r="V170">
        <v>88</v>
      </c>
      <c r="W170">
        <v>1</v>
      </c>
      <c r="X170" t="s">
        <v>66</v>
      </c>
      <c r="Y170">
        <v>4</v>
      </c>
    </row>
    <row r="171" spans="1:25" x14ac:dyDescent="0.25">
      <c r="A171" t="s">
        <v>26</v>
      </c>
      <c r="B171">
        <v>16</v>
      </c>
      <c r="C171">
        <v>1</v>
      </c>
      <c r="D171">
        <v>7</v>
      </c>
      <c r="E171">
        <v>5</v>
      </c>
      <c r="F171">
        <v>5</v>
      </c>
      <c r="G171">
        <v>4</v>
      </c>
      <c r="H171">
        <v>5</v>
      </c>
      <c r="I171">
        <v>3</v>
      </c>
      <c r="J171">
        <v>4</v>
      </c>
      <c r="K171">
        <v>4</v>
      </c>
      <c r="L171">
        <v>6</v>
      </c>
      <c r="M171">
        <v>4</v>
      </c>
      <c r="N171">
        <v>4</v>
      </c>
      <c r="O171">
        <v>8</v>
      </c>
      <c r="P171">
        <v>5</v>
      </c>
      <c r="Q171">
        <v>6</v>
      </c>
      <c r="R171">
        <v>5</v>
      </c>
      <c r="S171">
        <v>3</v>
      </c>
      <c r="T171">
        <v>6</v>
      </c>
      <c r="U171">
        <v>4</v>
      </c>
      <c r="V171">
        <v>88</v>
      </c>
      <c r="W171">
        <v>1</v>
      </c>
      <c r="X171" t="s">
        <v>65</v>
      </c>
      <c r="Y171">
        <v>0</v>
      </c>
    </row>
    <row r="172" spans="1:25" x14ac:dyDescent="0.25">
      <c r="A172" t="s">
        <v>26</v>
      </c>
      <c r="B172">
        <v>16</v>
      </c>
      <c r="C172">
        <v>1</v>
      </c>
      <c r="D172">
        <v>7</v>
      </c>
      <c r="E172">
        <v>5</v>
      </c>
      <c r="F172">
        <v>5</v>
      </c>
      <c r="G172">
        <v>4</v>
      </c>
      <c r="H172">
        <v>5</v>
      </c>
      <c r="I172">
        <v>3</v>
      </c>
      <c r="J172">
        <v>4</v>
      </c>
      <c r="K172">
        <v>4</v>
      </c>
      <c r="L172">
        <v>6</v>
      </c>
      <c r="M172">
        <v>4</v>
      </c>
      <c r="N172">
        <v>4</v>
      </c>
      <c r="O172">
        <v>8</v>
      </c>
      <c r="P172">
        <v>5</v>
      </c>
      <c r="Q172">
        <v>6</v>
      </c>
      <c r="R172">
        <v>5</v>
      </c>
      <c r="S172">
        <v>3</v>
      </c>
      <c r="T172">
        <v>6</v>
      </c>
      <c r="U172">
        <v>4</v>
      </c>
      <c r="V172">
        <v>88</v>
      </c>
      <c r="W172">
        <v>1</v>
      </c>
      <c r="X172" t="s">
        <v>64</v>
      </c>
      <c r="Y172">
        <v>1</v>
      </c>
    </row>
    <row r="173" spans="1:25" x14ac:dyDescent="0.25">
      <c r="A173" t="s">
        <v>26</v>
      </c>
      <c r="B173">
        <v>16</v>
      </c>
      <c r="C173">
        <v>1</v>
      </c>
      <c r="D173">
        <v>7</v>
      </c>
      <c r="E173">
        <v>5</v>
      </c>
      <c r="F173">
        <v>5</v>
      </c>
      <c r="G173">
        <v>4</v>
      </c>
      <c r="H173">
        <v>5</v>
      </c>
      <c r="I173">
        <v>3</v>
      </c>
      <c r="J173">
        <v>4</v>
      </c>
      <c r="K173">
        <v>4</v>
      </c>
      <c r="L173">
        <v>6</v>
      </c>
      <c r="M173">
        <v>4</v>
      </c>
      <c r="N173">
        <v>4</v>
      </c>
      <c r="O173">
        <v>8</v>
      </c>
      <c r="P173">
        <v>5</v>
      </c>
      <c r="Q173">
        <v>6</v>
      </c>
      <c r="R173">
        <v>5</v>
      </c>
      <c r="S173">
        <v>3</v>
      </c>
      <c r="T173">
        <v>6</v>
      </c>
      <c r="U173">
        <v>4</v>
      </c>
      <c r="V173">
        <v>88</v>
      </c>
      <c r="W173">
        <v>1</v>
      </c>
      <c r="X173" t="s">
        <v>67</v>
      </c>
      <c r="Y173">
        <v>9</v>
      </c>
    </row>
    <row r="174" spans="1:25" x14ac:dyDescent="0.25">
      <c r="A174" t="s">
        <v>26</v>
      </c>
      <c r="B174">
        <v>16</v>
      </c>
      <c r="C174">
        <v>1</v>
      </c>
      <c r="D174">
        <v>7</v>
      </c>
      <c r="E174">
        <v>5</v>
      </c>
      <c r="F174">
        <v>5</v>
      </c>
      <c r="G174">
        <v>4</v>
      </c>
      <c r="H174">
        <v>5</v>
      </c>
      <c r="I174">
        <v>3</v>
      </c>
      <c r="J174">
        <v>4</v>
      </c>
      <c r="K174">
        <v>4</v>
      </c>
      <c r="L174">
        <v>6</v>
      </c>
      <c r="M174">
        <v>4</v>
      </c>
      <c r="N174">
        <v>4</v>
      </c>
      <c r="O174">
        <v>8</v>
      </c>
      <c r="P174">
        <v>5</v>
      </c>
      <c r="Q174">
        <v>6</v>
      </c>
      <c r="R174">
        <v>5</v>
      </c>
      <c r="S174">
        <v>3</v>
      </c>
      <c r="T174">
        <v>6</v>
      </c>
      <c r="U174">
        <v>4</v>
      </c>
      <c r="V174">
        <v>88</v>
      </c>
      <c r="W174">
        <v>1</v>
      </c>
      <c r="X174" t="s">
        <v>88</v>
      </c>
      <c r="Y174">
        <v>3</v>
      </c>
    </row>
    <row r="175" spans="1:25" x14ac:dyDescent="0.25">
      <c r="A175" t="s">
        <v>26</v>
      </c>
      <c r="B175">
        <v>16</v>
      </c>
      <c r="C175">
        <v>1</v>
      </c>
      <c r="D175">
        <v>7</v>
      </c>
      <c r="E175">
        <v>5</v>
      </c>
      <c r="F175">
        <v>5</v>
      </c>
      <c r="G175">
        <v>4</v>
      </c>
      <c r="H175">
        <v>5</v>
      </c>
      <c r="I175">
        <v>3</v>
      </c>
      <c r="J175">
        <v>4</v>
      </c>
      <c r="K175">
        <v>4</v>
      </c>
      <c r="L175">
        <v>6</v>
      </c>
      <c r="M175">
        <v>4</v>
      </c>
      <c r="N175">
        <v>4</v>
      </c>
      <c r="O175">
        <v>8</v>
      </c>
      <c r="P175">
        <v>5</v>
      </c>
      <c r="Q175">
        <v>6</v>
      </c>
      <c r="R175">
        <v>5</v>
      </c>
      <c r="S175">
        <v>3</v>
      </c>
      <c r="T175">
        <v>6</v>
      </c>
      <c r="U175">
        <v>4</v>
      </c>
      <c r="V175">
        <v>88</v>
      </c>
      <c r="W175">
        <v>1</v>
      </c>
      <c r="X175" t="s">
        <v>69</v>
      </c>
      <c r="Y175">
        <v>0</v>
      </c>
    </row>
    <row r="176" spans="1:25" x14ac:dyDescent="0.25">
      <c r="A176" t="s">
        <v>26</v>
      </c>
      <c r="B176">
        <v>16</v>
      </c>
      <c r="C176">
        <v>1</v>
      </c>
      <c r="D176">
        <v>7</v>
      </c>
      <c r="E176">
        <v>5</v>
      </c>
      <c r="F176">
        <v>5</v>
      </c>
      <c r="G176">
        <v>4</v>
      </c>
      <c r="H176">
        <v>5</v>
      </c>
      <c r="I176">
        <v>3</v>
      </c>
      <c r="J176">
        <v>4</v>
      </c>
      <c r="K176">
        <v>4</v>
      </c>
      <c r="L176">
        <v>6</v>
      </c>
      <c r="M176">
        <v>4</v>
      </c>
      <c r="N176">
        <v>4</v>
      </c>
      <c r="O176">
        <v>8</v>
      </c>
      <c r="P176">
        <v>5</v>
      </c>
      <c r="Q176">
        <v>6</v>
      </c>
      <c r="R176">
        <v>5</v>
      </c>
      <c r="S176">
        <v>3</v>
      </c>
      <c r="T176">
        <v>6</v>
      </c>
      <c r="U176">
        <v>4</v>
      </c>
      <c r="V176">
        <v>88</v>
      </c>
      <c r="W176">
        <v>1</v>
      </c>
      <c r="X176" t="s">
        <v>89</v>
      </c>
      <c r="Y176">
        <v>1</v>
      </c>
    </row>
    <row r="177" spans="1:25" x14ac:dyDescent="0.25">
      <c r="A177" t="s">
        <v>22</v>
      </c>
      <c r="B177">
        <v>18</v>
      </c>
      <c r="C177">
        <v>2</v>
      </c>
      <c r="D177">
        <v>7</v>
      </c>
      <c r="E177">
        <v>5</v>
      </c>
      <c r="F177">
        <v>5</v>
      </c>
      <c r="G177">
        <v>5</v>
      </c>
      <c r="H177">
        <v>6</v>
      </c>
      <c r="I177">
        <v>3</v>
      </c>
      <c r="J177">
        <v>7</v>
      </c>
      <c r="K177">
        <v>6</v>
      </c>
      <c r="L177">
        <v>4</v>
      </c>
      <c r="M177">
        <v>6</v>
      </c>
      <c r="N177">
        <v>3</v>
      </c>
      <c r="O177">
        <v>4</v>
      </c>
      <c r="P177">
        <v>5</v>
      </c>
      <c r="Q177">
        <v>5</v>
      </c>
      <c r="R177">
        <v>4</v>
      </c>
      <c r="S177">
        <v>3</v>
      </c>
      <c r="T177">
        <v>5</v>
      </c>
      <c r="U177">
        <v>6</v>
      </c>
      <c r="V177">
        <v>89</v>
      </c>
      <c r="W177">
        <v>0</v>
      </c>
      <c r="X177" t="s">
        <v>66</v>
      </c>
      <c r="Y177">
        <v>6</v>
      </c>
    </row>
    <row r="178" spans="1:25" x14ac:dyDescent="0.25">
      <c r="A178" t="s">
        <v>22</v>
      </c>
      <c r="B178">
        <v>18</v>
      </c>
      <c r="C178">
        <v>2</v>
      </c>
      <c r="D178">
        <v>7</v>
      </c>
      <c r="E178">
        <v>5</v>
      </c>
      <c r="F178">
        <v>5</v>
      </c>
      <c r="G178">
        <v>5</v>
      </c>
      <c r="H178">
        <v>6</v>
      </c>
      <c r="I178">
        <v>3</v>
      </c>
      <c r="J178">
        <v>7</v>
      </c>
      <c r="K178">
        <v>6</v>
      </c>
      <c r="L178">
        <v>4</v>
      </c>
      <c r="M178">
        <v>6</v>
      </c>
      <c r="N178">
        <v>3</v>
      </c>
      <c r="O178">
        <v>4</v>
      </c>
      <c r="P178">
        <v>5</v>
      </c>
      <c r="Q178">
        <v>5</v>
      </c>
      <c r="R178">
        <v>4</v>
      </c>
      <c r="S178">
        <v>3</v>
      </c>
      <c r="T178">
        <v>5</v>
      </c>
      <c r="U178">
        <v>6</v>
      </c>
      <c r="V178">
        <v>89</v>
      </c>
      <c r="W178">
        <v>0</v>
      </c>
      <c r="X178" t="s">
        <v>65</v>
      </c>
      <c r="Y178">
        <v>0</v>
      </c>
    </row>
    <row r="179" spans="1:25" x14ac:dyDescent="0.25">
      <c r="A179" t="s">
        <v>22</v>
      </c>
      <c r="B179">
        <v>18</v>
      </c>
      <c r="C179">
        <v>2</v>
      </c>
      <c r="D179">
        <v>7</v>
      </c>
      <c r="E179">
        <v>5</v>
      </c>
      <c r="F179">
        <v>5</v>
      </c>
      <c r="G179">
        <v>5</v>
      </c>
      <c r="H179">
        <v>6</v>
      </c>
      <c r="I179">
        <v>3</v>
      </c>
      <c r="J179">
        <v>7</v>
      </c>
      <c r="K179">
        <v>6</v>
      </c>
      <c r="L179">
        <v>4</v>
      </c>
      <c r="M179">
        <v>6</v>
      </c>
      <c r="N179">
        <v>3</v>
      </c>
      <c r="O179">
        <v>4</v>
      </c>
      <c r="P179">
        <v>5</v>
      </c>
      <c r="Q179">
        <v>5</v>
      </c>
      <c r="R179">
        <v>4</v>
      </c>
      <c r="S179">
        <v>3</v>
      </c>
      <c r="T179">
        <v>5</v>
      </c>
      <c r="U179">
        <v>6</v>
      </c>
      <c r="V179">
        <v>89</v>
      </c>
      <c r="W179">
        <v>0</v>
      </c>
      <c r="X179" t="s">
        <v>64</v>
      </c>
      <c r="Y179">
        <v>1</v>
      </c>
    </row>
    <row r="180" spans="1:25" x14ac:dyDescent="0.25">
      <c r="A180" t="s">
        <v>22</v>
      </c>
      <c r="B180">
        <v>18</v>
      </c>
      <c r="C180">
        <v>2</v>
      </c>
      <c r="D180">
        <v>7</v>
      </c>
      <c r="E180">
        <v>5</v>
      </c>
      <c r="F180">
        <v>5</v>
      </c>
      <c r="G180">
        <v>5</v>
      </c>
      <c r="H180">
        <v>6</v>
      </c>
      <c r="I180">
        <v>3</v>
      </c>
      <c r="J180">
        <v>7</v>
      </c>
      <c r="K180">
        <v>6</v>
      </c>
      <c r="L180">
        <v>4</v>
      </c>
      <c r="M180">
        <v>6</v>
      </c>
      <c r="N180">
        <v>3</v>
      </c>
      <c r="O180">
        <v>4</v>
      </c>
      <c r="P180">
        <v>5</v>
      </c>
      <c r="Q180">
        <v>5</v>
      </c>
      <c r="R180">
        <v>4</v>
      </c>
      <c r="S180">
        <v>3</v>
      </c>
      <c r="T180">
        <v>5</v>
      </c>
      <c r="U180">
        <v>6</v>
      </c>
      <c r="V180">
        <v>89</v>
      </c>
      <c r="W180">
        <v>0</v>
      </c>
      <c r="X180" t="s">
        <v>67</v>
      </c>
      <c r="Y180">
        <v>4</v>
      </c>
    </row>
    <row r="181" spans="1:25" x14ac:dyDescent="0.25">
      <c r="A181" t="s">
        <v>22</v>
      </c>
      <c r="B181">
        <v>18</v>
      </c>
      <c r="C181">
        <v>2</v>
      </c>
      <c r="D181">
        <v>7</v>
      </c>
      <c r="E181">
        <v>5</v>
      </c>
      <c r="F181">
        <v>5</v>
      </c>
      <c r="G181">
        <v>5</v>
      </c>
      <c r="H181">
        <v>6</v>
      </c>
      <c r="I181">
        <v>3</v>
      </c>
      <c r="J181">
        <v>7</v>
      </c>
      <c r="K181">
        <v>6</v>
      </c>
      <c r="L181">
        <v>4</v>
      </c>
      <c r="M181">
        <v>6</v>
      </c>
      <c r="N181">
        <v>3</v>
      </c>
      <c r="O181">
        <v>4</v>
      </c>
      <c r="P181">
        <v>5</v>
      </c>
      <c r="Q181">
        <v>5</v>
      </c>
      <c r="R181">
        <v>4</v>
      </c>
      <c r="S181">
        <v>3</v>
      </c>
      <c r="T181">
        <v>5</v>
      </c>
      <c r="U181">
        <v>6</v>
      </c>
      <c r="V181">
        <v>89</v>
      </c>
      <c r="W181">
        <v>0</v>
      </c>
      <c r="X181" t="s">
        <v>88</v>
      </c>
      <c r="Y181">
        <v>6</v>
      </c>
    </row>
    <row r="182" spans="1:25" x14ac:dyDescent="0.25">
      <c r="A182" t="s">
        <v>22</v>
      </c>
      <c r="B182">
        <v>18</v>
      </c>
      <c r="C182">
        <v>2</v>
      </c>
      <c r="D182">
        <v>7</v>
      </c>
      <c r="E182">
        <v>5</v>
      </c>
      <c r="F182">
        <v>5</v>
      </c>
      <c r="G182">
        <v>5</v>
      </c>
      <c r="H182">
        <v>6</v>
      </c>
      <c r="I182">
        <v>3</v>
      </c>
      <c r="J182">
        <v>7</v>
      </c>
      <c r="K182">
        <v>6</v>
      </c>
      <c r="L182">
        <v>4</v>
      </c>
      <c r="M182">
        <v>6</v>
      </c>
      <c r="N182">
        <v>3</v>
      </c>
      <c r="O182">
        <v>4</v>
      </c>
      <c r="P182">
        <v>5</v>
      </c>
      <c r="Q182">
        <v>5</v>
      </c>
      <c r="R182">
        <v>4</v>
      </c>
      <c r="S182">
        <v>3</v>
      </c>
      <c r="T182">
        <v>5</v>
      </c>
      <c r="U182">
        <v>6</v>
      </c>
      <c r="V182">
        <v>89</v>
      </c>
      <c r="W182">
        <v>0</v>
      </c>
      <c r="X182" t="s">
        <v>69</v>
      </c>
      <c r="Y182">
        <v>0</v>
      </c>
    </row>
    <row r="183" spans="1:25" x14ac:dyDescent="0.25">
      <c r="A183" t="s">
        <v>22</v>
      </c>
      <c r="B183">
        <v>18</v>
      </c>
      <c r="C183">
        <v>2</v>
      </c>
      <c r="D183">
        <v>7</v>
      </c>
      <c r="E183">
        <v>5</v>
      </c>
      <c r="F183">
        <v>5</v>
      </c>
      <c r="G183">
        <v>5</v>
      </c>
      <c r="H183">
        <v>6</v>
      </c>
      <c r="I183">
        <v>3</v>
      </c>
      <c r="J183">
        <v>7</v>
      </c>
      <c r="K183">
        <v>6</v>
      </c>
      <c r="L183">
        <v>4</v>
      </c>
      <c r="M183">
        <v>6</v>
      </c>
      <c r="N183">
        <v>3</v>
      </c>
      <c r="O183">
        <v>4</v>
      </c>
      <c r="P183">
        <v>5</v>
      </c>
      <c r="Q183">
        <v>5</v>
      </c>
      <c r="R183">
        <v>4</v>
      </c>
      <c r="S183">
        <v>3</v>
      </c>
      <c r="T183">
        <v>5</v>
      </c>
      <c r="U183">
        <v>6</v>
      </c>
      <c r="V183">
        <v>89</v>
      </c>
      <c r="W183">
        <v>0</v>
      </c>
      <c r="X183" t="s">
        <v>89</v>
      </c>
      <c r="Y183">
        <v>1</v>
      </c>
    </row>
    <row r="184" spans="1:25" x14ac:dyDescent="0.25">
      <c r="A184" t="s">
        <v>25</v>
      </c>
      <c r="B184">
        <v>20</v>
      </c>
      <c r="C184">
        <v>1</v>
      </c>
      <c r="D184">
        <v>5</v>
      </c>
      <c r="E184">
        <v>7</v>
      </c>
      <c r="F184">
        <v>6</v>
      </c>
      <c r="G184">
        <v>3</v>
      </c>
      <c r="H184">
        <v>4</v>
      </c>
      <c r="I184">
        <v>8</v>
      </c>
      <c r="J184">
        <v>4</v>
      </c>
      <c r="K184">
        <v>3</v>
      </c>
      <c r="L184">
        <v>6</v>
      </c>
      <c r="M184">
        <v>4</v>
      </c>
      <c r="N184">
        <v>3</v>
      </c>
      <c r="O184">
        <v>4</v>
      </c>
      <c r="P184">
        <v>6</v>
      </c>
      <c r="Q184">
        <v>6</v>
      </c>
      <c r="R184">
        <v>5</v>
      </c>
      <c r="S184">
        <v>4</v>
      </c>
      <c r="T184">
        <v>6</v>
      </c>
      <c r="U184">
        <v>5</v>
      </c>
      <c r="V184">
        <v>89</v>
      </c>
      <c r="W184">
        <v>-2</v>
      </c>
      <c r="X184" t="s">
        <v>66</v>
      </c>
      <c r="Y184">
        <v>6</v>
      </c>
    </row>
    <row r="185" spans="1:25" x14ac:dyDescent="0.25">
      <c r="A185" t="s">
        <v>25</v>
      </c>
      <c r="B185">
        <v>20</v>
      </c>
      <c r="C185">
        <v>1</v>
      </c>
      <c r="D185">
        <v>5</v>
      </c>
      <c r="E185">
        <v>7</v>
      </c>
      <c r="F185">
        <v>6</v>
      </c>
      <c r="G185">
        <v>3</v>
      </c>
      <c r="H185">
        <v>4</v>
      </c>
      <c r="I185">
        <v>8</v>
      </c>
      <c r="J185">
        <v>4</v>
      </c>
      <c r="K185">
        <v>3</v>
      </c>
      <c r="L185">
        <v>6</v>
      </c>
      <c r="M185">
        <v>4</v>
      </c>
      <c r="N185">
        <v>3</v>
      </c>
      <c r="O185">
        <v>4</v>
      </c>
      <c r="P185">
        <v>6</v>
      </c>
      <c r="Q185">
        <v>6</v>
      </c>
      <c r="R185">
        <v>5</v>
      </c>
      <c r="S185">
        <v>4</v>
      </c>
      <c r="T185">
        <v>6</v>
      </c>
      <c r="U185">
        <v>5</v>
      </c>
      <c r="V185">
        <v>89</v>
      </c>
      <c r="W185">
        <v>-2</v>
      </c>
      <c r="X185" t="s">
        <v>65</v>
      </c>
      <c r="Y185">
        <v>1</v>
      </c>
    </row>
    <row r="186" spans="1:25" x14ac:dyDescent="0.25">
      <c r="A186" t="s">
        <v>25</v>
      </c>
      <c r="B186">
        <v>20</v>
      </c>
      <c r="C186">
        <v>1</v>
      </c>
      <c r="D186">
        <v>5</v>
      </c>
      <c r="E186">
        <v>7</v>
      </c>
      <c r="F186">
        <v>6</v>
      </c>
      <c r="G186">
        <v>3</v>
      </c>
      <c r="H186">
        <v>4</v>
      </c>
      <c r="I186">
        <v>8</v>
      </c>
      <c r="J186">
        <v>4</v>
      </c>
      <c r="K186">
        <v>3</v>
      </c>
      <c r="L186">
        <v>6</v>
      </c>
      <c r="M186">
        <v>4</v>
      </c>
      <c r="N186">
        <v>3</v>
      </c>
      <c r="O186">
        <v>4</v>
      </c>
      <c r="P186">
        <v>6</v>
      </c>
      <c r="Q186">
        <v>6</v>
      </c>
      <c r="R186">
        <v>5</v>
      </c>
      <c r="S186">
        <v>4</v>
      </c>
      <c r="T186">
        <v>6</v>
      </c>
      <c r="U186">
        <v>5</v>
      </c>
      <c r="V186">
        <v>89</v>
      </c>
      <c r="W186">
        <v>-2</v>
      </c>
      <c r="X186" t="s">
        <v>64</v>
      </c>
      <c r="Y186">
        <v>0</v>
      </c>
    </row>
    <row r="187" spans="1:25" x14ac:dyDescent="0.25">
      <c r="A187" t="s">
        <v>25</v>
      </c>
      <c r="B187">
        <v>20</v>
      </c>
      <c r="C187">
        <v>1</v>
      </c>
      <c r="D187">
        <v>5</v>
      </c>
      <c r="E187">
        <v>7</v>
      </c>
      <c r="F187">
        <v>6</v>
      </c>
      <c r="G187">
        <v>3</v>
      </c>
      <c r="H187">
        <v>4</v>
      </c>
      <c r="I187">
        <v>8</v>
      </c>
      <c r="J187">
        <v>4</v>
      </c>
      <c r="K187">
        <v>3</v>
      </c>
      <c r="L187">
        <v>6</v>
      </c>
      <c r="M187">
        <v>4</v>
      </c>
      <c r="N187">
        <v>3</v>
      </c>
      <c r="O187">
        <v>4</v>
      </c>
      <c r="P187">
        <v>6</v>
      </c>
      <c r="Q187">
        <v>6</v>
      </c>
      <c r="R187">
        <v>5</v>
      </c>
      <c r="S187">
        <v>4</v>
      </c>
      <c r="T187">
        <v>6</v>
      </c>
      <c r="U187">
        <v>5</v>
      </c>
      <c r="V187">
        <v>89</v>
      </c>
      <c r="W187">
        <v>-2</v>
      </c>
      <c r="X187" t="s">
        <v>67</v>
      </c>
      <c r="Y187">
        <v>5</v>
      </c>
    </row>
    <row r="188" spans="1:25" x14ac:dyDescent="0.25">
      <c r="A188" t="s">
        <v>25</v>
      </c>
      <c r="B188">
        <v>20</v>
      </c>
      <c r="C188">
        <v>1</v>
      </c>
      <c r="D188">
        <v>5</v>
      </c>
      <c r="E188">
        <v>7</v>
      </c>
      <c r="F188">
        <v>6</v>
      </c>
      <c r="G188">
        <v>3</v>
      </c>
      <c r="H188">
        <v>4</v>
      </c>
      <c r="I188">
        <v>8</v>
      </c>
      <c r="J188">
        <v>4</v>
      </c>
      <c r="K188">
        <v>3</v>
      </c>
      <c r="L188">
        <v>6</v>
      </c>
      <c r="M188">
        <v>4</v>
      </c>
      <c r="N188">
        <v>3</v>
      </c>
      <c r="O188">
        <v>4</v>
      </c>
      <c r="P188">
        <v>6</v>
      </c>
      <c r="Q188">
        <v>6</v>
      </c>
      <c r="R188">
        <v>5</v>
      </c>
      <c r="S188">
        <v>4</v>
      </c>
      <c r="T188">
        <v>6</v>
      </c>
      <c r="U188">
        <v>5</v>
      </c>
      <c r="V188">
        <v>89</v>
      </c>
      <c r="W188">
        <v>-2</v>
      </c>
      <c r="X188" t="s">
        <v>88</v>
      </c>
      <c r="Y188">
        <v>4</v>
      </c>
    </row>
    <row r="189" spans="1:25" x14ac:dyDescent="0.25">
      <c r="A189" t="s">
        <v>25</v>
      </c>
      <c r="B189">
        <v>20</v>
      </c>
      <c r="C189">
        <v>1</v>
      </c>
      <c r="D189">
        <v>5</v>
      </c>
      <c r="E189">
        <v>7</v>
      </c>
      <c r="F189">
        <v>6</v>
      </c>
      <c r="G189">
        <v>3</v>
      </c>
      <c r="H189">
        <v>4</v>
      </c>
      <c r="I189">
        <v>8</v>
      </c>
      <c r="J189">
        <v>4</v>
      </c>
      <c r="K189">
        <v>3</v>
      </c>
      <c r="L189">
        <v>6</v>
      </c>
      <c r="M189">
        <v>4</v>
      </c>
      <c r="N189">
        <v>3</v>
      </c>
      <c r="O189">
        <v>4</v>
      </c>
      <c r="P189">
        <v>6</v>
      </c>
      <c r="Q189">
        <v>6</v>
      </c>
      <c r="R189">
        <v>5</v>
      </c>
      <c r="S189">
        <v>4</v>
      </c>
      <c r="T189">
        <v>6</v>
      </c>
      <c r="U189">
        <v>5</v>
      </c>
      <c r="V189">
        <v>89</v>
      </c>
      <c r="W189">
        <v>-2</v>
      </c>
      <c r="X189" t="s">
        <v>69</v>
      </c>
      <c r="Y189">
        <v>2</v>
      </c>
    </row>
    <row r="190" spans="1:25" x14ac:dyDescent="0.25">
      <c r="A190" t="s">
        <v>25</v>
      </c>
      <c r="B190">
        <v>20</v>
      </c>
      <c r="C190">
        <v>1</v>
      </c>
      <c r="D190">
        <v>5</v>
      </c>
      <c r="E190">
        <v>7</v>
      </c>
      <c r="F190">
        <v>6</v>
      </c>
      <c r="G190">
        <v>3</v>
      </c>
      <c r="H190">
        <v>4</v>
      </c>
      <c r="I190">
        <v>8</v>
      </c>
      <c r="J190">
        <v>4</v>
      </c>
      <c r="K190">
        <v>3</v>
      </c>
      <c r="L190">
        <v>6</v>
      </c>
      <c r="M190">
        <v>4</v>
      </c>
      <c r="N190">
        <v>3</v>
      </c>
      <c r="O190">
        <v>4</v>
      </c>
      <c r="P190">
        <v>6</v>
      </c>
      <c r="Q190">
        <v>6</v>
      </c>
      <c r="R190">
        <v>5</v>
      </c>
      <c r="S190">
        <v>4</v>
      </c>
      <c r="T190">
        <v>6</v>
      </c>
      <c r="U190">
        <v>5</v>
      </c>
      <c r="V190">
        <v>89</v>
      </c>
      <c r="W190">
        <v>-2</v>
      </c>
      <c r="X190" t="s">
        <v>89</v>
      </c>
      <c r="Y190">
        <v>0</v>
      </c>
    </row>
    <row r="191" spans="1:25" x14ac:dyDescent="0.25">
      <c r="A191" t="s">
        <v>49</v>
      </c>
      <c r="B191">
        <v>14</v>
      </c>
      <c r="C191">
        <v>2</v>
      </c>
      <c r="D191">
        <v>5</v>
      </c>
      <c r="E191">
        <v>6</v>
      </c>
      <c r="F191">
        <v>4</v>
      </c>
      <c r="G191">
        <v>4</v>
      </c>
      <c r="H191">
        <v>4</v>
      </c>
      <c r="I191">
        <v>6</v>
      </c>
      <c r="J191">
        <v>5</v>
      </c>
      <c r="K191">
        <v>4</v>
      </c>
      <c r="L191">
        <v>5</v>
      </c>
      <c r="M191">
        <v>5</v>
      </c>
      <c r="N191">
        <v>4</v>
      </c>
      <c r="O191">
        <v>5</v>
      </c>
      <c r="P191">
        <v>5</v>
      </c>
      <c r="Q191">
        <v>7</v>
      </c>
      <c r="R191">
        <v>5</v>
      </c>
      <c r="S191">
        <v>4</v>
      </c>
      <c r="T191">
        <v>6</v>
      </c>
      <c r="U191">
        <v>6</v>
      </c>
      <c r="V191">
        <v>90</v>
      </c>
      <c r="W191">
        <v>5</v>
      </c>
      <c r="X191" t="s">
        <v>66</v>
      </c>
      <c r="Y191">
        <v>4</v>
      </c>
    </row>
    <row r="192" spans="1:25" x14ac:dyDescent="0.25">
      <c r="A192" t="s">
        <v>49</v>
      </c>
      <c r="B192">
        <v>14</v>
      </c>
      <c r="C192">
        <v>2</v>
      </c>
      <c r="D192">
        <v>5</v>
      </c>
      <c r="E192">
        <v>6</v>
      </c>
      <c r="F192">
        <v>4</v>
      </c>
      <c r="G192">
        <v>4</v>
      </c>
      <c r="H192">
        <v>4</v>
      </c>
      <c r="I192">
        <v>6</v>
      </c>
      <c r="J192">
        <v>5</v>
      </c>
      <c r="K192">
        <v>4</v>
      </c>
      <c r="L192">
        <v>5</v>
      </c>
      <c r="M192">
        <v>5</v>
      </c>
      <c r="N192">
        <v>4</v>
      </c>
      <c r="O192">
        <v>5</v>
      </c>
      <c r="P192">
        <v>5</v>
      </c>
      <c r="Q192">
        <v>7</v>
      </c>
      <c r="R192">
        <v>5</v>
      </c>
      <c r="S192">
        <v>4</v>
      </c>
      <c r="T192">
        <v>6</v>
      </c>
      <c r="U192">
        <v>6</v>
      </c>
      <c r="V192">
        <v>90</v>
      </c>
      <c r="W192">
        <v>5</v>
      </c>
      <c r="X192" t="s">
        <v>65</v>
      </c>
      <c r="Y192">
        <v>0</v>
      </c>
    </row>
    <row r="193" spans="1:25" x14ac:dyDescent="0.25">
      <c r="A193" t="s">
        <v>49</v>
      </c>
      <c r="B193">
        <v>14</v>
      </c>
      <c r="C193">
        <v>2</v>
      </c>
      <c r="D193">
        <v>5</v>
      </c>
      <c r="E193">
        <v>6</v>
      </c>
      <c r="F193">
        <v>4</v>
      </c>
      <c r="G193">
        <v>4</v>
      </c>
      <c r="H193">
        <v>4</v>
      </c>
      <c r="I193">
        <v>6</v>
      </c>
      <c r="J193">
        <v>5</v>
      </c>
      <c r="K193">
        <v>4</v>
      </c>
      <c r="L193">
        <v>5</v>
      </c>
      <c r="M193">
        <v>5</v>
      </c>
      <c r="N193">
        <v>4</v>
      </c>
      <c r="O193">
        <v>5</v>
      </c>
      <c r="P193">
        <v>5</v>
      </c>
      <c r="Q193">
        <v>7</v>
      </c>
      <c r="R193">
        <v>5</v>
      </c>
      <c r="S193">
        <v>4</v>
      </c>
      <c r="T193">
        <v>6</v>
      </c>
      <c r="U193">
        <v>6</v>
      </c>
      <c r="V193">
        <v>90</v>
      </c>
      <c r="W193">
        <v>5</v>
      </c>
      <c r="X193" t="s">
        <v>64</v>
      </c>
      <c r="Y193">
        <v>0</v>
      </c>
    </row>
    <row r="194" spans="1:25" x14ac:dyDescent="0.25">
      <c r="A194" t="s">
        <v>49</v>
      </c>
      <c r="B194">
        <v>14</v>
      </c>
      <c r="C194">
        <v>2</v>
      </c>
      <c r="D194">
        <v>5</v>
      </c>
      <c r="E194">
        <v>6</v>
      </c>
      <c r="F194">
        <v>4</v>
      </c>
      <c r="G194">
        <v>4</v>
      </c>
      <c r="H194">
        <v>4</v>
      </c>
      <c r="I194">
        <v>6</v>
      </c>
      <c r="J194">
        <v>5</v>
      </c>
      <c r="K194">
        <v>4</v>
      </c>
      <c r="L194">
        <v>5</v>
      </c>
      <c r="M194">
        <v>5</v>
      </c>
      <c r="N194">
        <v>4</v>
      </c>
      <c r="O194">
        <v>5</v>
      </c>
      <c r="P194">
        <v>5</v>
      </c>
      <c r="Q194">
        <v>7</v>
      </c>
      <c r="R194">
        <v>5</v>
      </c>
      <c r="S194">
        <v>4</v>
      </c>
      <c r="T194">
        <v>6</v>
      </c>
      <c r="U194">
        <v>6</v>
      </c>
      <c r="V194">
        <v>90</v>
      </c>
      <c r="W194">
        <v>5</v>
      </c>
      <c r="X194" t="s">
        <v>67</v>
      </c>
      <c r="Y194">
        <v>9</v>
      </c>
    </row>
    <row r="195" spans="1:25" x14ac:dyDescent="0.25">
      <c r="A195" t="s">
        <v>49</v>
      </c>
      <c r="B195">
        <v>14</v>
      </c>
      <c r="C195">
        <v>2</v>
      </c>
      <c r="D195">
        <v>5</v>
      </c>
      <c r="E195">
        <v>6</v>
      </c>
      <c r="F195">
        <v>4</v>
      </c>
      <c r="G195">
        <v>4</v>
      </c>
      <c r="H195">
        <v>4</v>
      </c>
      <c r="I195">
        <v>6</v>
      </c>
      <c r="J195">
        <v>5</v>
      </c>
      <c r="K195">
        <v>4</v>
      </c>
      <c r="L195">
        <v>5</v>
      </c>
      <c r="M195">
        <v>5</v>
      </c>
      <c r="N195">
        <v>4</v>
      </c>
      <c r="O195">
        <v>5</v>
      </c>
      <c r="P195">
        <v>5</v>
      </c>
      <c r="Q195">
        <v>7</v>
      </c>
      <c r="R195">
        <v>5</v>
      </c>
      <c r="S195">
        <v>4</v>
      </c>
      <c r="T195">
        <v>6</v>
      </c>
      <c r="U195">
        <v>6</v>
      </c>
      <c r="V195">
        <v>90</v>
      </c>
      <c r="W195">
        <v>5</v>
      </c>
      <c r="X195" t="s">
        <v>88</v>
      </c>
      <c r="Y195">
        <v>5</v>
      </c>
    </row>
    <row r="196" spans="1:25" x14ac:dyDescent="0.25">
      <c r="A196" t="s">
        <v>49</v>
      </c>
      <c r="B196">
        <v>14</v>
      </c>
      <c r="C196">
        <v>2</v>
      </c>
      <c r="D196">
        <v>5</v>
      </c>
      <c r="E196">
        <v>6</v>
      </c>
      <c r="F196">
        <v>4</v>
      </c>
      <c r="G196">
        <v>4</v>
      </c>
      <c r="H196">
        <v>4</v>
      </c>
      <c r="I196">
        <v>6</v>
      </c>
      <c r="J196">
        <v>5</v>
      </c>
      <c r="K196">
        <v>4</v>
      </c>
      <c r="L196">
        <v>5</v>
      </c>
      <c r="M196">
        <v>5</v>
      </c>
      <c r="N196">
        <v>4</v>
      </c>
      <c r="O196">
        <v>5</v>
      </c>
      <c r="P196">
        <v>5</v>
      </c>
      <c r="Q196">
        <v>7</v>
      </c>
      <c r="R196">
        <v>5</v>
      </c>
      <c r="S196">
        <v>4</v>
      </c>
      <c r="T196">
        <v>6</v>
      </c>
      <c r="U196">
        <v>6</v>
      </c>
      <c r="V196">
        <v>90</v>
      </c>
      <c r="W196">
        <v>5</v>
      </c>
      <c r="X196" t="s">
        <v>69</v>
      </c>
      <c r="Y196">
        <v>0</v>
      </c>
    </row>
    <row r="197" spans="1:25" x14ac:dyDescent="0.25">
      <c r="A197" t="s">
        <v>49</v>
      </c>
      <c r="B197">
        <v>14</v>
      </c>
      <c r="C197">
        <v>2</v>
      </c>
      <c r="D197">
        <v>5</v>
      </c>
      <c r="E197">
        <v>6</v>
      </c>
      <c r="F197">
        <v>4</v>
      </c>
      <c r="G197">
        <v>4</v>
      </c>
      <c r="H197">
        <v>4</v>
      </c>
      <c r="I197">
        <v>6</v>
      </c>
      <c r="J197">
        <v>5</v>
      </c>
      <c r="K197">
        <v>4</v>
      </c>
      <c r="L197">
        <v>5</v>
      </c>
      <c r="M197">
        <v>5</v>
      </c>
      <c r="N197">
        <v>4</v>
      </c>
      <c r="O197">
        <v>5</v>
      </c>
      <c r="P197">
        <v>5</v>
      </c>
      <c r="Q197">
        <v>7</v>
      </c>
      <c r="R197">
        <v>5</v>
      </c>
      <c r="S197">
        <v>4</v>
      </c>
      <c r="T197">
        <v>6</v>
      </c>
      <c r="U197">
        <v>6</v>
      </c>
      <c r="V197">
        <v>90</v>
      </c>
      <c r="W197">
        <v>5</v>
      </c>
      <c r="X197" t="s">
        <v>89</v>
      </c>
      <c r="Y197">
        <v>0</v>
      </c>
    </row>
    <row r="198" spans="1:25" x14ac:dyDescent="0.25">
      <c r="A198" t="s">
        <v>35</v>
      </c>
      <c r="B198">
        <v>15</v>
      </c>
      <c r="C198">
        <v>1</v>
      </c>
      <c r="D198">
        <v>5</v>
      </c>
      <c r="E198">
        <v>6</v>
      </c>
      <c r="F198">
        <v>4</v>
      </c>
      <c r="G198">
        <v>4</v>
      </c>
      <c r="H198">
        <v>5</v>
      </c>
      <c r="I198">
        <v>4</v>
      </c>
      <c r="J198">
        <v>4</v>
      </c>
      <c r="K198">
        <v>4</v>
      </c>
      <c r="L198">
        <v>6</v>
      </c>
      <c r="M198">
        <v>5</v>
      </c>
      <c r="N198">
        <v>3</v>
      </c>
      <c r="O198">
        <v>5</v>
      </c>
      <c r="P198">
        <v>4</v>
      </c>
      <c r="Q198">
        <v>9</v>
      </c>
      <c r="R198">
        <v>5</v>
      </c>
      <c r="S198">
        <v>4</v>
      </c>
      <c r="T198">
        <v>7</v>
      </c>
      <c r="U198">
        <v>6</v>
      </c>
      <c r="V198">
        <v>90</v>
      </c>
      <c r="W198">
        <v>4</v>
      </c>
      <c r="X198" t="s">
        <v>66</v>
      </c>
      <c r="Y198">
        <v>5</v>
      </c>
    </row>
    <row r="199" spans="1:25" x14ac:dyDescent="0.25">
      <c r="A199" t="s">
        <v>35</v>
      </c>
      <c r="B199">
        <v>15</v>
      </c>
      <c r="C199">
        <v>1</v>
      </c>
      <c r="D199">
        <v>5</v>
      </c>
      <c r="E199">
        <v>6</v>
      </c>
      <c r="F199">
        <v>4</v>
      </c>
      <c r="G199">
        <v>4</v>
      </c>
      <c r="H199">
        <v>5</v>
      </c>
      <c r="I199">
        <v>4</v>
      </c>
      <c r="J199">
        <v>4</v>
      </c>
      <c r="K199">
        <v>4</v>
      </c>
      <c r="L199">
        <v>6</v>
      </c>
      <c r="M199">
        <v>5</v>
      </c>
      <c r="N199">
        <v>3</v>
      </c>
      <c r="O199">
        <v>5</v>
      </c>
      <c r="P199">
        <v>4</v>
      </c>
      <c r="Q199">
        <v>9</v>
      </c>
      <c r="R199">
        <v>5</v>
      </c>
      <c r="S199">
        <v>4</v>
      </c>
      <c r="T199">
        <v>7</v>
      </c>
      <c r="U199">
        <v>6</v>
      </c>
      <c r="V199">
        <v>90</v>
      </c>
      <c r="W199">
        <v>4</v>
      </c>
      <c r="X199" t="s">
        <v>65</v>
      </c>
      <c r="Y199">
        <v>1</v>
      </c>
    </row>
    <row r="200" spans="1:25" x14ac:dyDescent="0.25">
      <c r="A200" t="s">
        <v>35</v>
      </c>
      <c r="B200">
        <v>15</v>
      </c>
      <c r="C200">
        <v>1</v>
      </c>
      <c r="D200">
        <v>5</v>
      </c>
      <c r="E200">
        <v>6</v>
      </c>
      <c r="F200">
        <v>4</v>
      </c>
      <c r="G200">
        <v>4</v>
      </c>
      <c r="H200">
        <v>5</v>
      </c>
      <c r="I200">
        <v>4</v>
      </c>
      <c r="J200">
        <v>4</v>
      </c>
      <c r="K200">
        <v>4</v>
      </c>
      <c r="L200">
        <v>6</v>
      </c>
      <c r="M200">
        <v>5</v>
      </c>
      <c r="N200">
        <v>3</v>
      </c>
      <c r="O200">
        <v>5</v>
      </c>
      <c r="P200">
        <v>4</v>
      </c>
      <c r="Q200">
        <v>9</v>
      </c>
      <c r="R200">
        <v>5</v>
      </c>
      <c r="S200">
        <v>4</v>
      </c>
      <c r="T200">
        <v>7</v>
      </c>
      <c r="U200">
        <v>6</v>
      </c>
      <c r="V200">
        <v>90</v>
      </c>
      <c r="W200">
        <v>4</v>
      </c>
      <c r="X200" t="s">
        <v>64</v>
      </c>
      <c r="Y200">
        <v>0</v>
      </c>
    </row>
    <row r="201" spans="1:25" x14ac:dyDescent="0.25">
      <c r="A201" t="s">
        <v>35</v>
      </c>
      <c r="B201">
        <v>15</v>
      </c>
      <c r="C201">
        <v>1</v>
      </c>
      <c r="D201">
        <v>5</v>
      </c>
      <c r="E201">
        <v>6</v>
      </c>
      <c r="F201">
        <v>4</v>
      </c>
      <c r="G201">
        <v>4</v>
      </c>
      <c r="H201">
        <v>5</v>
      </c>
      <c r="I201">
        <v>4</v>
      </c>
      <c r="J201">
        <v>4</v>
      </c>
      <c r="K201">
        <v>4</v>
      </c>
      <c r="L201">
        <v>6</v>
      </c>
      <c r="M201">
        <v>5</v>
      </c>
      <c r="N201">
        <v>3</v>
      </c>
      <c r="O201">
        <v>5</v>
      </c>
      <c r="P201">
        <v>4</v>
      </c>
      <c r="Q201">
        <v>9</v>
      </c>
      <c r="R201">
        <v>5</v>
      </c>
      <c r="S201">
        <v>4</v>
      </c>
      <c r="T201">
        <v>7</v>
      </c>
      <c r="U201">
        <v>6</v>
      </c>
      <c r="V201">
        <v>90</v>
      </c>
      <c r="W201">
        <v>4</v>
      </c>
      <c r="X201" t="s">
        <v>67</v>
      </c>
      <c r="Y201">
        <v>7</v>
      </c>
    </row>
    <row r="202" spans="1:25" x14ac:dyDescent="0.25">
      <c r="A202" t="s">
        <v>35</v>
      </c>
      <c r="B202">
        <v>15</v>
      </c>
      <c r="C202">
        <v>1</v>
      </c>
      <c r="D202">
        <v>5</v>
      </c>
      <c r="E202">
        <v>6</v>
      </c>
      <c r="F202">
        <v>4</v>
      </c>
      <c r="G202">
        <v>4</v>
      </c>
      <c r="H202">
        <v>5</v>
      </c>
      <c r="I202">
        <v>4</v>
      </c>
      <c r="J202">
        <v>4</v>
      </c>
      <c r="K202">
        <v>4</v>
      </c>
      <c r="L202">
        <v>6</v>
      </c>
      <c r="M202">
        <v>5</v>
      </c>
      <c r="N202">
        <v>3</v>
      </c>
      <c r="O202">
        <v>5</v>
      </c>
      <c r="P202">
        <v>4</v>
      </c>
      <c r="Q202">
        <v>9</v>
      </c>
      <c r="R202">
        <v>5</v>
      </c>
      <c r="S202">
        <v>4</v>
      </c>
      <c r="T202">
        <v>7</v>
      </c>
      <c r="U202">
        <v>6</v>
      </c>
      <c r="V202">
        <v>90</v>
      </c>
      <c r="W202">
        <v>4</v>
      </c>
      <c r="X202" t="s">
        <v>88</v>
      </c>
      <c r="Y202">
        <v>3</v>
      </c>
    </row>
    <row r="203" spans="1:25" x14ac:dyDescent="0.25">
      <c r="A203" t="s">
        <v>35</v>
      </c>
      <c r="B203">
        <v>15</v>
      </c>
      <c r="C203">
        <v>1</v>
      </c>
      <c r="D203">
        <v>5</v>
      </c>
      <c r="E203">
        <v>6</v>
      </c>
      <c r="F203">
        <v>4</v>
      </c>
      <c r="G203">
        <v>4</v>
      </c>
      <c r="H203">
        <v>5</v>
      </c>
      <c r="I203">
        <v>4</v>
      </c>
      <c r="J203">
        <v>4</v>
      </c>
      <c r="K203">
        <v>4</v>
      </c>
      <c r="L203">
        <v>6</v>
      </c>
      <c r="M203">
        <v>5</v>
      </c>
      <c r="N203">
        <v>3</v>
      </c>
      <c r="O203">
        <v>5</v>
      </c>
      <c r="P203">
        <v>4</v>
      </c>
      <c r="Q203">
        <v>9</v>
      </c>
      <c r="R203">
        <v>5</v>
      </c>
      <c r="S203">
        <v>4</v>
      </c>
      <c r="T203">
        <v>7</v>
      </c>
      <c r="U203">
        <v>6</v>
      </c>
      <c r="V203">
        <v>90</v>
      </c>
      <c r="W203">
        <v>4</v>
      </c>
      <c r="X203" t="s">
        <v>69</v>
      </c>
      <c r="Y203">
        <v>1</v>
      </c>
    </row>
    <row r="204" spans="1:25" x14ac:dyDescent="0.25">
      <c r="A204" t="s">
        <v>35</v>
      </c>
      <c r="B204">
        <v>15</v>
      </c>
      <c r="C204">
        <v>1</v>
      </c>
      <c r="D204">
        <v>5</v>
      </c>
      <c r="E204">
        <v>6</v>
      </c>
      <c r="F204">
        <v>4</v>
      </c>
      <c r="G204">
        <v>4</v>
      </c>
      <c r="H204">
        <v>5</v>
      </c>
      <c r="I204">
        <v>4</v>
      </c>
      <c r="J204">
        <v>4</v>
      </c>
      <c r="K204">
        <v>4</v>
      </c>
      <c r="L204">
        <v>6</v>
      </c>
      <c r="M204">
        <v>5</v>
      </c>
      <c r="N204">
        <v>3</v>
      </c>
      <c r="O204">
        <v>5</v>
      </c>
      <c r="P204">
        <v>4</v>
      </c>
      <c r="Q204">
        <v>9</v>
      </c>
      <c r="R204">
        <v>5</v>
      </c>
      <c r="S204">
        <v>4</v>
      </c>
      <c r="T204">
        <v>7</v>
      </c>
      <c r="U204">
        <v>6</v>
      </c>
      <c r="V204">
        <v>90</v>
      </c>
      <c r="W204">
        <v>4</v>
      </c>
      <c r="X204" t="s">
        <v>89</v>
      </c>
      <c r="Y204">
        <v>1</v>
      </c>
    </row>
    <row r="205" spans="1:25" x14ac:dyDescent="0.25">
      <c r="A205" t="s">
        <v>38</v>
      </c>
      <c r="B205">
        <v>16</v>
      </c>
      <c r="C205">
        <v>2</v>
      </c>
      <c r="D205">
        <v>6</v>
      </c>
      <c r="E205">
        <v>8</v>
      </c>
      <c r="F205">
        <v>5</v>
      </c>
      <c r="G205">
        <v>4</v>
      </c>
      <c r="H205">
        <v>5</v>
      </c>
      <c r="I205">
        <v>6</v>
      </c>
      <c r="J205">
        <v>4</v>
      </c>
      <c r="K205">
        <v>5</v>
      </c>
      <c r="L205">
        <v>5</v>
      </c>
      <c r="M205">
        <v>5</v>
      </c>
      <c r="N205">
        <v>4</v>
      </c>
      <c r="O205">
        <v>4</v>
      </c>
      <c r="P205">
        <v>4</v>
      </c>
      <c r="Q205">
        <v>5</v>
      </c>
      <c r="R205">
        <v>6</v>
      </c>
      <c r="S205">
        <v>4</v>
      </c>
      <c r="T205">
        <v>5</v>
      </c>
      <c r="U205">
        <v>5</v>
      </c>
      <c r="V205">
        <v>90</v>
      </c>
      <c r="W205">
        <v>3</v>
      </c>
      <c r="X205" t="s">
        <v>66</v>
      </c>
      <c r="Y205">
        <v>3</v>
      </c>
    </row>
    <row r="206" spans="1:25" x14ac:dyDescent="0.25">
      <c r="A206" t="s">
        <v>38</v>
      </c>
      <c r="B206">
        <v>16</v>
      </c>
      <c r="C206">
        <v>2</v>
      </c>
      <c r="D206">
        <v>6</v>
      </c>
      <c r="E206">
        <v>8</v>
      </c>
      <c r="F206">
        <v>5</v>
      </c>
      <c r="G206">
        <v>4</v>
      </c>
      <c r="H206">
        <v>5</v>
      </c>
      <c r="I206">
        <v>6</v>
      </c>
      <c r="J206">
        <v>4</v>
      </c>
      <c r="K206">
        <v>5</v>
      </c>
      <c r="L206">
        <v>5</v>
      </c>
      <c r="M206">
        <v>5</v>
      </c>
      <c r="N206">
        <v>4</v>
      </c>
      <c r="O206">
        <v>4</v>
      </c>
      <c r="P206">
        <v>4</v>
      </c>
      <c r="Q206">
        <v>5</v>
      </c>
      <c r="R206">
        <v>6</v>
      </c>
      <c r="S206">
        <v>4</v>
      </c>
      <c r="T206">
        <v>5</v>
      </c>
      <c r="U206">
        <v>5</v>
      </c>
      <c r="V206">
        <v>90</v>
      </c>
      <c r="W206">
        <v>3</v>
      </c>
      <c r="X206" t="s">
        <v>65</v>
      </c>
      <c r="Y206">
        <v>0</v>
      </c>
    </row>
    <row r="207" spans="1:25" x14ac:dyDescent="0.25">
      <c r="A207" t="s">
        <v>38</v>
      </c>
      <c r="B207">
        <v>16</v>
      </c>
      <c r="C207">
        <v>2</v>
      </c>
      <c r="D207">
        <v>6</v>
      </c>
      <c r="E207">
        <v>8</v>
      </c>
      <c r="F207">
        <v>5</v>
      </c>
      <c r="G207">
        <v>4</v>
      </c>
      <c r="H207">
        <v>5</v>
      </c>
      <c r="I207">
        <v>6</v>
      </c>
      <c r="J207">
        <v>4</v>
      </c>
      <c r="K207">
        <v>5</v>
      </c>
      <c r="L207">
        <v>5</v>
      </c>
      <c r="M207">
        <v>5</v>
      </c>
      <c r="N207">
        <v>4</v>
      </c>
      <c r="O207">
        <v>4</v>
      </c>
      <c r="P207">
        <v>4</v>
      </c>
      <c r="Q207">
        <v>5</v>
      </c>
      <c r="R207">
        <v>6</v>
      </c>
      <c r="S207">
        <v>4</v>
      </c>
      <c r="T207">
        <v>5</v>
      </c>
      <c r="U207">
        <v>5</v>
      </c>
      <c r="V207">
        <v>90</v>
      </c>
      <c r="W207">
        <v>3</v>
      </c>
      <c r="X207" t="s">
        <v>64</v>
      </c>
      <c r="Y207">
        <v>0</v>
      </c>
    </row>
    <row r="208" spans="1:25" x14ac:dyDescent="0.25">
      <c r="A208" t="s">
        <v>38</v>
      </c>
      <c r="B208">
        <v>16</v>
      </c>
      <c r="C208">
        <v>2</v>
      </c>
      <c r="D208">
        <v>6</v>
      </c>
      <c r="E208">
        <v>8</v>
      </c>
      <c r="F208">
        <v>5</v>
      </c>
      <c r="G208">
        <v>4</v>
      </c>
      <c r="H208">
        <v>5</v>
      </c>
      <c r="I208">
        <v>6</v>
      </c>
      <c r="J208">
        <v>4</v>
      </c>
      <c r="K208">
        <v>5</v>
      </c>
      <c r="L208">
        <v>5</v>
      </c>
      <c r="M208">
        <v>5</v>
      </c>
      <c r="N208">
        <v>4</v>
      </c>
      <c r="O208">
        <v>4</v>
      </c>
      <c r="P208">
        <v>4</v>
      </c>
      <c r="Q208">
        <v>5</v>
      </c>
      <c r="R208">
        <v>6</v>
      </c>
      <c r="S208">
        <v>4</v>
      </c>
      <c r="T208">
        <v>5</v>
      </c>
      <c r="U208">
        <v>5</v>
      </c>
      <c r="V208">
        <v>90</v>
      </c>
      <c r="W208">
        <v>3</v>
      </c>
      <c r="X208" t="s">
        <v>67</v>
      </c>
      <c r="Y208">
        <v>13</v>
      </c>
    </row>
    <row r="209" spans="1:25" x14ac:dyDescent="0.25">
      <c r="A209" t="s">
        <v>38</v>
      </c>
      <c r="B209">
        <v>16</v>
      </c>
      <c r="C209">
        <v>2</v>
      </c>
      <c r="D209">
        <v>6</v>
      </c>
      <c r="E209">
        <v>8</v>
      </c>
      <c r="F209">
        <v>5</v>
      </c>
      <c r="G209">
        <v>4</v>
      </c>
      <c r="H209">
        <v>5</v>
      </c>
      <c r="I209">
        <v>6</v>
      </c>
      <c r="J209">
        <v>4</v>
      </c>
      <c r="K209">
        <v>5</v>
      </c>
      <c r="L209">
        <v>5</v>
      </c>
      <c r="M209">
        <v>5</v>
      </c>
      <c r="N209">
        <v>4</v>
      </c>
      <c r="O209">
        <v>4</v>
      </c>
      <c r="P209">
        <v>4</v>
      </c>
      <c r="Q209">
        <v>5</v>
      </c>
      <c r="R209">
        <v>6</v>
      </c>
      <c r="S209">
        <v>4</v>
      </c>
      <c r="T209">
        <v>5</v>
      </c>
      <c r="U209">
        <v>5</v>
      </c>
      <c r="V209">
        <v>90</v>
      </c>
      <c r="W209">
        <v>3</v>
      </c>
      <c r="X209" t="s">
        <v>88</v>
      </c>
      <c r="Y209">
        <v>1</v>
      </c>
    </row>
    <row r="210" spans="1:25" x14ac:dyDescent="0.25">
      <c r="A210" t="s">
        <v>38</v>
      </c>
      <c r="B210">
        <v>16</v>
      </c>
      <c r="C210">
        <v>2</v>
      </c>
      <c r="D210">
        <v>6</v>
      </c>
      <c r="E210">
        <v>8</v>
      </c>
      <c r="F210">
        <v>5</v>
      </c>
      <c r="G210">
        <v>4</v>
      </c>
      <c r="H210">
        <v>5</v>
      </c>
      <c r="I210">
        <v>6</v>
      </c>
      <c r="J210">
        <v>4</v>
      </c>
      <c r="K210">
        <v>5</v>
      </c>
      <c r="L210">
        <v>5</v>
      </c>
      <c r="M210">
        <v>5</v>
      </c>
      <c r="N210">
        <v>4</v>
      </c>
      <c r="O210">
        <v>4</v>
      </c>
      <c r="P210">
        <v>4</v>
      </c>
      <c r="Q210">
        <v>5</v>
      </c>
      <c r="R210">
        <v>6</v>
      </c>
      <c r="S210">
        <v>4</v>
      </c>
      <c r="T210">
        <v>5</v>
      </c>
      <c r="U210">
        <v>5</v>
      </c>
      <c r="V210">
        <v>90</v>
      </c>
      <c r="W210">
        <v>3</v>
      </c>
      <c r="X210" t="s">
        <v>69</v>
      </c>
      <c r="Y210">
        <v>0</v>
      </c>
    </row>
    <row r="211" spans="1:25" x14ac:dyDescent="0.25">
      <c r="A211" t="s">
        <v>38</v>
      </c>
      <c r="B211">
        <v>16</v>
      </c>
      <c r="C211">
        <v>2</v>
      </c>
      <c r="D211">
        <v>6</v>
      </c>
      <c r="E211">
        <v>8</v>
      </c>
      <c r="F211">
        <v>5</v>
      </c>
      <c r="G211">
        <v>4</v>
      </c>
      <c r="H211">
        <v>5</v>
      </c>
      <c r="I211">
        <v>6</v>
      </c>
      <c r="J211">
        <v>4</v>
      </c>
      <c r="K211">
        <v>5</v>
      </c>
      <c r="L211">
        <v>5</v>
      </c>
      <c r="M211">
        <v>5</v>
      </c>
      <c r="N211">
        <v>4</v>
      </c>
      <c r="O211">
        <v>4</v>
      </c>
      <c r="P211">
        <v>4</v>
      </c>
      <c r="Q211">
        <v>5</v>
      </c>
      <c r="R211">
        <v>6</v>
      </c>
      <c r="S211">
        <v>4</v>
      </c>
      <c r="T211">
        <v>5</v>
      </c>
      <c r="U211">
        <v>5</v>
      </c>
      <c r="V211">
        <v>90</v>
      </c>
      <c r="W211">
        <v>3</v>
      </c>
      <c r="X211" t="s">
        <v>89</v>
      </c>
      <c r="Y211">
        <v>1</v>
      </c>
    </row>
    <row r="212" spans="1:25" x14ac:dyDescent="0.25">
      <c r="A212" t="s">
        <v>37</v>
      </c>
      <c r="B212">
        <v>18</v>
      </c>
      <c r="C212">
        <v>2</v>
      </c>
      <c r="D212">
        <v>4</v>
      </c>
      <c r="E212">
        <v>5</v>
      </c>
      <c r="F212">
        <v>5</v>
      </c>
      <c r="G212">
        <v>4</v>
      </c>
      <c r="H212">
        <v>6</v>
      </c>
      <c r="I212">
        <v>5</v>
      </c>
      <c r="J212">
        <v>4</v>
      </c>
      <c r="K212">
        <v>6</v>
      </c>
      <c r="L212">
        <v>5</v>
      </c>
      <c r="M212">
        <v>5</v>
      </c>
      <c r="N212">
        <v>4</v>
      </c>
      <c r="O212">
        <v>5</v>
      </c>
      <c r="P212">
        <v>6</v>
      </c>
      <c r="Q212">
        <v>6</v>
      </c>
      <c r="R212">
        <v>6</v>
      </c>
      <c r="S212">
        <v>3</v>
      </c>
      <c r="T212">
        <v>5</v>
      </c>
      <c r="U212">
        <v>6</v>
      </c>
      <c r="V212">
        <v>90</v>
      </c>
      <c r="W212">
        <v>1</v>
      </c>
      <c r="X212" t="s">
        <v>66</v>
      </c>
      <c r="Y212">
        <v>2</v>
      </c>
    </row>
    <row r="213" spans="1:25" x14ac:dyDescent="0.25">
      <c r="A213" t="s">
        <v>37</v>
      </c>
      <c r="B213">
        <v>18</v>
      </c>
      <c r="C213">
        <v>2</v>
      </c>
      <c r="D213">
        <v>4</v>
      </c>
      <c r="E213">
        <v>5</v>
      </c>
      <c r="F213">
        <v>5</v>
      </c>
      <c r="G213">
        <v>4</v>
      </c>
      <c r="H213">
        <v>6</v>
      </c>
      <c r="I213">
        <v>5</v>
      </c>
      <c r="J213">
        <v>4</v>
      </c>
      <c r="K213">
        <v>6</v>
      </c>
      <c r="L213">
        <v>5</v>
      </c>
      <c r="M213">
        <v>5</v>
      </c>
      <c r="N213">
        <v>4</v>
      </c>
      <c r="O213">
        <v>5</v>
      </c>
      <c r="P213">
        <v>6</v>
      </c>
      <c r="Q213">
        <v>6</v>
      </c>
      <c r="R213">
        <v>6</v>
      </c>
      <c r="S213">
        <v>3</v>
      </c>
      <c r="T213">
        <v>5</v>
      </c>
      <c r="U213">
        <v>6</v>
      </c>
      <c r="V213">
        <v>90</v>
      </c>
      <c r="W213">
        <v>1</v>
      </c>
      <c r="X213" t="s">
        <v>65</v>
      </c>
      <c r="Y213">
        <v>1</v>
      </c>
    </row>
    <row r="214" spans="1:25" x14ac:dyDescent="0.25">
      <c r="A214" t="s">
        <v>37</v>
      </c>
      <c r="B214">
        <v>18</v>
      </c>
      <c r="C214">
        <v>2</v>
      </c>
      <c r="D214">
        <v>4</v>
      </c>
      <c r="E214">
        <v>5</v>
      </c>
      <c r="F214">
        <v>5</v>
      </c>
      <c r="G214">
        <v>4</v>
      </c>
      <c r="H214">
        <v>6</v>
      </c>
      <c r="I214">
        <v>5</v>
      </c>
      <c r="J214">
        <v>4</v>
      </c>
      <c r="K214">
        <v>6</v>
      </c>
      <c r="L214">
        <v>5</v>
      </c>
      <c r="M214">
        <v>5</v>
      </c>
      <c r="N214">
        <v>4</v>
      </c>
      <c r="O214">
        <v>5</v>
      </c>
      <c r="P214">
        <v>6</v>
      </c>
      <c r="Q214">
        <v>6</v>
      </c>
      <c r="R214">
        <v>6</v>
      </c>
      <c r="S214">
        <v>3</v>
      </c>
      <c r="T214">
        <v>5</v>
      </c>
      <c r="U214">
        <v>6</v>
      </c>
      <c r="V214">
        <v>90</v>
      </c>
      <c r="W214">
        <v>1</v>
      </c>
      <c r="X214" t="s">
        <v>64</v>
      </c>
      <c r="Y214">
        <v>0</v>
      </c>
    </row>
    <row r="215" spans="1:25" x14ac:dyDescent="0.25">
      <c r="A215" t="s">
        <v>37</v>
      </c>
      <c r="B215">
        <v>18</v>
      </c>
      <c r="C215">
        <v>2</v>
      </c>
      <c r="D215">
        <v>4</v>
      </c>
      <c r="E215">
        <v>5</v>
      </c>
      <c r="F215">
        <v>5</v>
      </c>
      <c r="G215">
        <v>4</v>
      </c>
      <c r="H215">
        <v>6</v>
      </c>
      <c r="I215">
        <v>5</v>
      </c>
      <c r="J215">
        <v>4</v>
      </c>
      <c r="K215">
        <v>6</v>
      </c>
      <c r="L215">
        <v>5</v>
      </c>
      <c r="M215">
        <v>5</v>
      </c>
      <c r="N215">
        <v>4</v>
      </c>
      <c r="O215">
        <v>5</v>
      </c>
      <c r="P215">
        <v>6</v>
      </c>
      <c r="Q215">
        <v>6</v>
      </c>
      <c r="R215">
        <v>6</v>
      </c>
      <c r="S215">
        <v>3</v>
      </c>
      <c r="T215">
        <v>5</v>
      </c>
      <c r="U215">
        <v>6</v>
      </c>
      <c r="V215">
        <v>90</v>
      </c>
      <c r="W215">
        <v>1</v>
      </c>
      <c r="X215" t="s">
        <v>67</v>
      </c>
      <c r="Y215">
        <v>10</v>
      </c>
    </row>
    <row r="216" spans="1:25" x14ac:dyDescent="0.25">
      <c r="A216" t="s">
        <v>37</v>
      </c>
      <c r="B216">
        <v>18</v>
      </c>
      <c r="C216">
        <v>2</v>
      </c>
      <c r="D216">
        <v>4</v>
      </c>
      <c r="E216">
        <v>5</v>
      </c>
      <c r="F216">
        <v>5</v>
      </c>
      <c r="G216">
        <v>4</v>
      </c>
      <c r="H216">
        <v>6</v>
      </c>
      <c r="I216">
        <v>5</v>
      </c>
      <c r="J216">
        <v>4</v>
      </c>
      <c r="K216">
        <v>6</v>
      </c>
      <c r="L216">
        <v>5</v>
      </c>
      <c r="M216">
        <v>5</v>
      </c>
      <c r="N216">
        <v>4</v>
      </c>
      <c r="O216">
        <v>5</v>
      </c>
      <c r="P216">
        <v>6</v>
      </c>
      <c r="Q216">
        <v>6</v>
      </c>
      <c r="R216">
        <v>6</v>
      </c>
      <c r="S216">
        <v>3</v>
      </c>
      <c r="T216">
        <v>5</v>
      </c>
      <c r="U216">
        <v>6</v>
      </c>
      <c r="V216">
        <v>90</v>
      </c>
      <c r="W216">
        <v>1</v>
      </c>
      <c r="X216" t="s">
        <v>88</v>
      </c>
      <c r="Y216">
        <v>5</v>
      </c>
    </row>
    <row r="217" spans="1:25" x14ac:dyDescent="0.25">
      <c r="A217" t="s">
        <v>37</v>
      </c>
      <c r="B217">
        <v>18</v>
      </c>
      <c r="C217">
        <v>2</v>
      </c>
      <c r="D217">
        <v>4</v>
      </c>
      <c r="E217">
        <v>5</v>
      </c>
      <c r="F217">
        <v>5</v>
      </c>
      <c r="G217">
        <v>4</v>
      </c>
      <c r="H217">
        <v>6</v>
      </c>
      <c r="I217">
        <v>5</v>
      </c>
      <c r="J217">
        <v>4</v>
      </c>
      <c r="K217">
        <v>6</v>
      </c>
      <c r="L217">
        <v>5</v>
      </c>
      <c r="M217">
        <v>5</v>
      </c>
      <c r="N217">
        <v>4</v>
      </c>
      <c r="O217">
        <v>5</v>
      </c>
      <c r="P217">
        <v>6</v>
      </c>
      <c r="Q217">
        <v>6</v>
      </c>
      <c r="R217">
        <v>6</v>
      </c>
      <c r="S217">
        <v>3</v>
      </c>
      <c r="T217">
        <v>5</v>
      </c>
      <c r="U217">
        <v>6</v>
      </c>
      <c r="V217">
        <v>90</v>
      </c>
      <c r="W217">
        <v>1</v>
      </c>
      <c r="X217" t="s">
        <v>69</v>
      </c>
      <c r="Y217">
        <v>0</v>
      </c>
    </row>
    <row r="218" spans="1:25" x14ac:dyDescent="0.25">
      <c r="A218" t="s">
        <v>37</v>
      </c>
      <c r="B218">
        <v>18</v>
      </c>
      <c r="C218">
        <v>2</v>
      </c>
      <c r="D218">
        <v>4</v>
      </c>
      <c r="E218">
        <v>5</v>
      </c>
      <c r="F218">
        <v>5</v>
      </c>
      <c r="G218">
        <v>4</v>
      </c>
      <c r="H218">
        <v>6</v>
      </c>
      <c r="I218">
        <v>5</v>
      </c>
      <c r="J218">
        <v>4</v>
      </c>
      <c r="K218">
        <v>6</v>
      </c>
      <c r="L218">
        <v>5</v>
      </c>
      <c r="M218">
        <v>5</v>
      </c>
      <c r="N218">
        <v>4</v>
      </c>
      <c r="O218">
        <v>5</v>
      </c>
      <c r="P218">
        <v>6</v>
      </c>
      <c r="Q218">
        <v>6</v>
      </c>
      <c r="R218">
        <v>6</v>
      </c>
      <c r="S218">
        <v>3</v>
      </c>
      <c r="T218">
        <v>5</v>
      </c>
      <c r="U218">
        <v>6</v>
      </c>
      <c r="V218">
        <v>90</v>
      </c>
      <c r="W218">
        <v>1</v>
      </c>
      <c r="X218" t="s">
        <v>89</v>
      </c>
      <c r="Y218">
        <v>0</v>
      </c>
    </row>
    <row r="219" spans="1:25" x14ac:dyDescent="0.25">
      <c r="A219" t="s">
        <v>38</v>
      </c>
      <c r="B219">
        <v>16</v>
      </c>
      <c r="C219">
        <v>1</v>
      </c>
      <c r="D219">
        <v>5</v>
      </c>
      <c r="E219">
        <v>6</v>
      </c>
      <c r="F219">
        <v>7</v>
      </c>
      <c r="G219">
        <v>3</v>
      </c>
      <c r="H219">
        <v>6</v>
      </c>
      <c r="I219">
        <v>5</v>
      </c>
      <c r="J219">
        <v>6</v>
      </c>
      <c r="K219">
        <v>8</v>
      </c>
      <c r="L219">
        <v>4</v>
      </c>
      <c r="M219">
        <v>5</v>
      </c>
      <c r="N219">
        <v>3</v>
      </c>
      <c r="O219">
        <v>4</v>
      </c>
      <c r="P219">
        <v>6</v>
      </c>
      <c r="Q219">
        <v>5</v>
      </c>
      <c r="R219">
        <v>5</v>
      </c>
      <c r="S219">
        <v>3</v>
      </c>
      <c r="T219">
        <v>6</v>
      </c>
      <c r="U219">
        <v>5</v>
      </c>
      <c r="V219">
        <v>92</v>
      </c>
      <c r="W219">
        <v>5</v>
      </c>
      <c r="X219" t="s">
        <v>66</v>
      </c>
      <c r="Y219">
        <v>8</v>
      </c>
    </row>
    <row r="220" spans="1:25" x14ac:dyDescent="0.25">
      <c r="A220" t="s">
        <v>38</v>
      </c>
      <c r="B220">
        <v>16</v>
      </c>
      <c r="C220">
        <v>1</v>
      </c>
      <c r="D220">
        <v>5</v>
      </c>
      <c r="E220">
        <v>6</v>
      </c>
      <c r="F220">
        <v>7</v>
      </c>
      <c r="G220">
        <v>3</v>
      </c>
      <c r="H220">
        <v>6</v>
      </c>
      <c r="I220">
        <v>5</v>
      </c>
      <c r="J220">
        <v>6</v>
      </c>
      <c r="K220">
        <v>8</v>
      </c>
      <c r="L220">
        <v>4</v>
      </c>
      <c r="M220">
        <v>5</v>
      </c>
      <c r="N220">
        <v>3</v>
      </c>
      <c r="O220">
        <v>4</v>
      </c>
      <c r="P220">
        <v>6</v>
      </c>
      <c r="Q220">
        <v>5</v>
      </c>
      <c r="R220">
        <v>5</v>
      </c>
      <c r="S220">
        <v>3</v>
      </c>
      <c r="T220">
        <v>6</v>
      </c>
      <c r="U220">
        <v>5</v>
      </c>
      <c r="V220">
        <v>92</v>
      </c>
      <c r="W220">
        <v>5</v>
      </c>
      <c r="X220" t="s">
        <v>65</v>
      </c>
      <c r="Y220">
        <v>0</v>
      </c>
    </row>
    <row r="221" spans="1:25" x14ac:dyDescent="0.25">
      <c r="A221" t="s">
        <v>38</v>
      </c>
      <c r="B221">
        <v>16</v>
      </c>
      <c r="C221">
        <v>1</v>
      </c>
      <c r="D221">
        <v>5</v>
      </c>
      <c r="E221">
        <v>6</v>
      </c>
      <c r="F221">
        <v>7</v>
      </c>
      <c r="G221">
        <v>3</v>
      </c>
      <c r="H221">
        <v>6</v>
      </c>
      <c r="I221">
        <v>5</v>
      </c>
      <c r="J221">
        <v>6</v>
      </c>
      <c r="K221">
        <v>8</v>
      </c>
      <c r="L221">
        <v>4</v>
      </c>
      <c r="M221">
        <v>5</v>
      </c>
      <c r="N221">
        <v>3</v>
      </c>
      <c r="O221">
        <v>4</v>
      </c>
      <c r="P221">
        <v>6</v>
      </c>
      <c r="Q221">
        <v>5</v>
      </c>
      <c r="R221">
        <v>5</v>
      </c>
      <c r="S221">
        <v>3</v>
      </c>
      <c r="T221">
        <v>6</v>
      </c>
      <c r="U221">
        <v>5</v>
      </c>
      <c r="V221">
        <v>92</v>
      </c>
      <c r="W221">
        <v>5</v>
      </c>
      <c r="X221" t="s">
        <v>64</v>
      </c>
      <c r="Y221">
        <v>0</v>
      </c>
    </row>
    <row r="222" spans="1:25" x14ac:dyDescent="0.25">
      <c r="A222" t="s">
        <v>38</v>
      </c>
      <c r="B222">
        <v>16</v>
      </c>
      <c r="C222">
        <v>1</v>
      </c>
      <c r="D222">
        <v>5</v>
      </c>
      <c r="E222">
        <v>6</v>
      </c>
      <c r="F222">
        <v>7</v>
      </c>
      <c r="G222">
        <v>3</v>
      </c>
      <c r="H222">
        <v>6</v>
      </c>
      <c r="I222">
        <v>5</v>
      </c>
      <c r="J222">
        <v>6</v>
      </c>
      <c r="K222">
        <v>8</v>
      </c>
      <c r="L222">
        <v>4</v>
      </c>
      <c r="M222">
        <v>5</v>
      </c>
      <c r="N222">
        <v>3</v>
      </c>
      <c r="O222">
        <v>4</v>
      </c>
      <c r="P222">
        <v>6</v>
      </c>
      <c r="Q222">
        <v>5</v>
      </c>
      <c r="R222">
        <v>5</v>
      </c>
      <c r="S222">
        <v>3</v>
      </c>
      <c r="T222">
        <v>6</v>
      </c>
      <c r="U222">
        <v>5</v>
      </c>
      <c r="V222">
        <v>92</v>
      </c>
      <c r="W222">
        <v>5</v>
      </c>
      <c r="X222" t="s">
        <v>67</v>
      </c>
      <c r="Y222">
        <v>3</v>
      </c>
    </row>
    <row r="223" spans="1:25" x14ac:dyDescent="0.25">
      <c r="A223" t="s">
        <v>38</v>
      </c>
      <c r="B223">
        <v>16</v>
      </c>
      <c r="C223">
        <v>1</v>
      </c>
      <c r="D223">
        <v>5</v>
      </c>
      <c r="E223">
        <v>6</v>
      </c>
      <c r="F223">
        <v>7</v>
      </c>
      <c r="G223">
        <v>3</v>
      </c>
      <c r="H223">
        <v>6</v>
      </c>
      <c r="I223">
        <v>5</v>
      </c>
      <c r="J223">
        <v>6</v>
      </c>
      <c r="K223">
        <v>8</v>
      </c>
      <c r="L223">
        <v>4</v>
      </c>
      <c r="M223">
        <v>5</v>
      </c>
      <c r="N223">
        <v>3</v>
      </c>
      <c r="O223">
        <v>4</v>
      </c>
      <c r="P223">
        <v>6</v>
      </c>
      <c r="Q223">
        <v>5</v>
      </c>
      <c r="R223">
        <v>5</v>
      </c>
      <c r="S223">
        <v>3</v>
      </c>
      <c r="T223">
        <v>6</v>
      </c>
      <c r="U223">
        <v>5</v>
      </c>
      <c r="V223">
        <v>92</v>
      </c>
      <c r="W223">
        <v>5</v>
      </c>
      <c r="X223" t="s">
        <v>88</v>
      </c>
      <c r="Y223">
        <v>4</v>
      </c>
    </row>
    <row r="224" spans="1:25" x14ac:dyDescent="0.25">
      <c r="A224" t="s">
        <v>38</v>
      </c>
      <c r="B224">
        <v>16</v>
      </c>
      <c r="C224">
        <v>1</v>
      </c>
      <c r="D224">
        <v>5</v>
      </c>
      <c r="E224">
        <v>6</v>
      </c>
      <c r="F224">
        <v>7</v>
      </c>
      <c r="G224">
        <v>3</v>
      </c>
      <c r="H224">
        <v>6</v>
      </c>
      <c r="I224">
        <v>5</v>
      </c>
      <c r="J224">
        <v>6</v>
      </c>
      <c r="K224">
        <v>8</v>
      </c>
      <c r="L224">
        <v>4</v>
      </c>
      <c r="M224">
        <v>5</v>
      </c>
      <c r="N224">
        <v>3</v>
      </c>
      <c r="O224">
        <v>4</v>
      </c>
      <c r="P224">
        <v>6</v>
      </c>
      <c r="Q224">
        <v>5</v>
      </c>
      <c r="R224">
        <v>5</v>
      </c>
      <c r="S224">
        <v>3</v>
      </c>
      <c r="T224">
        <v>6</v>
      </c>
      <c r="U224">
        <v>5</v>
      </c>
      <c r="V224">
        <v>92</v>
      </c>
      <c r="W224">
        <v>5</v>
      </c>
      <c r="X224" t="s">
        <v>69</v>
      </c>
      <c r="Y224">
        <v>2</v>
      </c>
    </row>
    <row r="225" spans="1:25" x14ac:dyDescent="0.25">
      <c r="A225" t="s">
        <v>38</v>
      </c>
      <c r="B225">
        <v>16</v>
      </c>
      <c r="C225">
        <v>1</v>
      </c>
      <c r="D225">
        <v>5</v>
      </c>
      <c r="E225">
        <v>6</v>
      </c>
      <c r="F225">
        <v>7</v>
      </c>
      <c r="G225">
        <v>3</v>
      </c>
      <c r="H225">
        <v>6</v>
      </c>
      <c r="I225">
        <v>5</v>
      </c>
      <c r="J225">
        <v>6</v>
      </c>
      <c r="K225">
        <v>8</v>
      </c>
      <c r="L225">
        <v>4</v>
      </c>
      <c r="M225">
        <v>5</v>
      </c>
      <c r="N225">
        <v>3</v>
      </c>
      <c r="O225">
        <v>4</v>
      </c>
      <c r="P225">
        <v>6</v>
      </c>
      <c r="Q225">
        <v>5</v>
      </c>
      <c r="R225">
        <v>5</v>
      </c>
      <c r="S225">
        <v>3</v>
      </c>
      <c r="T225">
        <v>6</v>
      </c>
      <c r="U225">
        <v>5</v>
      </c>
      <c r="V225">
        <v>92</v>
      </c>
      <c r="W225">
        <v>5</v>
      </c>
      <c r="X225" t="s">
        <v>89</v>
      </c>
      <c r="Y225">
        <v>1</v>
      </c>
    </row>
    <row r="226" spans="1:25" x14ac:dyDescent="0.25">
      <c r="A226" t="s">
        <v>39</v>
      </c>
      <c r="B226">
        <v>16</v>
      </c>
      <c r="C226">
        <v>2</v>
      </c>
      <c r="D226">
        <v>5</v>
      </c>
      <c r="E226">
        <v>4</v>
      </c>
      <c r="F226">
        <v>4</v>
      </c>
      <c r="G226">
        <v>4</v>
      </c>
      <c r="H226">
        <v>7</v>
      </c>
      <c r="I226">
        <v>5</v>
      </c>
      <c r="J226">
        <v>5</v>
      </c>
      <c r="K226">
        <v>4</v>
      </c>
      <c r="L226">
        <v>5</v>
      </c>
      <c r="M226">
        <v>8</v>
      </c>
      <c r="N226">
        <v>7</v>
      </c>
      <c r="O226">
        <v>4</v>
      </c>
      <c r="P226">
        <v>4</v>
      </c>
      <c r="Q226">
        <v>7</v>
      </c>
      <c r="R226">
        <v>5</v>
      </c>
      <c r="S226">
        <v>5</v>
      </c>
      <c r="T226">
        <v>5</v>
      </c>
      <c r="U226">
        <v>4</v>
      </c>
      <c r="V226">
        <v>92</v>
      </c>
      <c r="W226">
        <v>5</v>
      </c>
      <c r="X226" t="s">
        <v>66</v>
      </c>
      <c r="Y226">
        <v>8</v>
      </c>
    </row>
    <row r="227" spans="1:25" x14ac:dyDescent="0.25">
      <c r="A227" t="s">
        <v>39</v>
      </c>
      <c r="B227">
        <v>16</v>
      </c>
      <c r="C227">
        <v>2</v>
      </c>
      <c r="D227">
        <v>5</v>
      </c>
      <c r="E227">
        <v>4</v>
      </c>
      <c r="F227">
        <v>4</v>
      </c>
      <c r="G227">
        <v>4</v>
      </c>
      <c r="H227">
        <v>7</v>
      </c>
      <c r="I227">
        <v>5</v>
      </c>
      <c r="J227">
        <v>5</v>
      </c>
      <c r="K227">
        <v>4</v>
      </c>
      <c r="L227">
        <v>5</v>
      </c>
      <c r="M227">
        <v>8</v>
      </c>
      <c r="N227">
        <v>7</v>
      </c>
      <c r="O227">
        <v>4</v>
      </c>
      <c r="P227">
        <v>4</v>
      </c>
      <c r="Q227">
        <v>7</v>
      </c>
      <c r="R227">
        <v>5</v>
      </c>
      <c r="S227">
        <v>5</v>
      </c>
      <c r="T227">
        <v>5</v>
      </c>
      <c r="U227">
        <v>4</v>
      </c>
      <c r="V227">
        <v>92</v>
      </c>
      <c r="W227">
        <v>5</v>
      </c>
      <c r="X227" t="s">
        <v>65</v>
      </c>
      <c r="Y227">
        <v>0</v>
      </c>
    </row>
    <row r="228" spans="1:25" x14ac:dyDescent="0.25">
      <c r="A228" t="s">
        <v>39</v>
      </c>
      <c r="B228">
        <v>16</v>
      </c>
      <c r="C228">
        <v>2</v>
      </c>
      <c r="D228">
        <v>5</v>
      </c>
      <c r="E228">
        <v>4</v>
      </c>
      <c r="F228">
        <v>4</v>
      </c>
      <c r="G228">
        <v>4</v>
      </c>
      <c r="H228">
        <v>7</v>
      </c>
      <c r="I228">
        <v>5</v>
      </c>
      <c r="J228">
        <v>5</v>
      </c>
      <c r="K228">
        <v>4</v>
      </c>
      <c r="L228">
        <v>5</v>
      </c>
      <c r="M228">
        <v>8</v>
      </c>
      <c r="N228">
        <v>7</v>
      </c>
      <c r="O228">
        <v>4</v>
      </c>
      <c r="P228">
        <v>4</v>
      </c>
      <c r="Q228">
        <v>7</v>
      </c>
      <c r="R228">
        <v>5</v>
      </c>
      <c r="S228">
        <v>5</v>
      </c>
      <c r="T228">
        <v>5</v>
      </c>
      <c r="U228">
        <v>4</v>
      </c>
      <c r="V228">
        <v>92</v>
      </c>
      <c r="W228">
        <v>5</v>
      </c>
      <c r="X228" t="s">
        <v>64</v>
      </c>
      <c r="Y228">
        <v>0</v>
      </c>
    </row>
    <row r="229" spans="1:25" x14ac:dyDescent="0.25">
      <c r="A229" t="s">
        <v>39</v>
      </c>
      <c r="B229">
        <v>16</v>
      </c>
      <c r="C229">
        <v>2</v>
      </c>
      <c r="D229">
        <v>5</v>
      </c>
      <c r="E229">
        <v>4</v>
      </c>
      <c r="F229">
        <v>4</v>
      </c>
      <c r="G229">
        <v>4</v>
      </c>
      <c r="H229">
        <v>7</v>
      </c>
      <c r="I229">
        <v>5</v>
      </c>
      <c r="J229">
        <v>5</v>
      </c>
      <c r="K229">
        <v>4</v>
      </c>
      <c r="L229">
        <v>5</v>
      </c>
      <c r="M229">
        <v>8</v>
      </c>
      <c r="N229">
        <v>7</v>
      </c>
      <c r="O229">
        <v>4</v>
      </c>
      <c r="P229">
        <v>4</v>
      </c>
      <c r="Q229">
        <v>7</v>
      </c>
      <c r="R229">
        <v>5</v>
      </c>
      <c r="S229">
        <v>5</v>
      </c>
      <c r="T229">
        <v>5</v>
      </c>
      <c r="U229">
        <v>4</v>
      </c>
      <c r="V229">
        <v>92</v>
      </c>
      <c r="W229">
        <v>5</v>
      </c>
      <c r="X229" t="s">
        <v>67</v>
      </c>
      <c r="Y229">
        <v>4</v>
      </c>
    </row>
    <row r="230" spans="1:25" x14ac:dyDescent="0.25">
      <c r="A230" t="s">
        <v>39</v>
      </c>
      <c r="B230">
        <v>16</v>
      </c>
      <c r="C230">
        <v>2</v>
      </c>
      <c r="D230">
        <v>5</v>
      </c>
      <c r="E230">
        <v>4</v>
      </c>
      <c r="F230">
        <v>4</v>
      </c>
      <c r="G230">
        <v>4</v>
      </c>
      <c r="H230">
        <v>7</v>
      </c>
      <c r="I230">
        <v>5</v>
      </c>
      <c r="J230">
        <v>5</v>
      </c>
      <c r="K230">
        <v>4</v>
      </c>
      <c r="L230">
        <v>5</v>
      </c>
      <c r="M230">
        <v>8</v>
      </c>
      <c r="N230">
        <v>7</v>
      </c>
      <c r="O230">
        <v>4</v>
      </c>
      <c r="P230">
        <v>4</v>
      </c>
      <c r="Q230">
        <v>7</v>
      </c>
      <c r="R230">
        <v>5</v>
      </c>
      <c r="S230">
        <v>5</v>
      </c>
      <c r="T230">
        <v>5</v>
      </c>
      <c r="U230">
        <v>4</v>
      </c>
      <c r="V230">
        <v>92</v>
      </c>
      <c r="W230">
        <v>5</v>
      </c>
      <c r="X230" t="s">
        <v>88</v>
      </c>
      <c r="Y230">
        <v>3</v>
      </c>
    </row>
    <row r="231" spans="1:25" x14ac:dyDescent="0.25">
      <c r="A231" t="s">
        <v>39</v>
      </c>
      <c r="B231">
        <v>16</v>
      </c>
      <c r="C231">
        <v>2</v>
      </c>
      <c r="D231">
        <v>5</v>
      </c>
      <c r="E231">
        <v>4</v>
      </c>
      <c r="F231">
        <v>4</v>
      </c>
      <c r="G231">
        <v>4</v>
      </c>
      <c r="H231">
        <v>7</v>
      </c>
      <c r="I231">
        <v>5</v>
      </c>
      <c r="J231">
        <v>5</v>
      </c>
      <c r="K231">
        <v>4</v>
      </c>
      <c r="L231">
        <v>5</v>
      </c>
      <c r="M231">
        <v>8</v>
      </c>
      <c r="N231">
        <v>7</v>
      </c>
      <c r="O231">
        <v>4</v>
      </c>
      <c r="P231">
        <v>4</v>
      </c>
      <c r="Q231">
        <v>7</v>
      </c>
      <c r="R231">
        <v>5</v>
      </c>
      <c r="S231">
        <v>5</v>
      </c>
      <c r="T231">
        <v>5</v>
      </c>
      <c r="U231">
        <v>4</v>
      </c>
      <c r="V231">
        <v>92</v>
      </c>
      <c r="W231">
        <v>5</v>
      </c>
      <c r="X231" t="s">
        <v>69</v>
      </c>
      <c r="Y231">
        <v>1</v>
      </c>
    </row>
    <row r="232" spans="1:25" x14ac:dyDescent="0.25">
      <c r="A232" t="s">
        <v>39</v>
      </c>
      <c r="B232">
        <v>16</v>
      </c>
      <c r="C232">
        <v>2</v>
      </c>
      <c r="D232">
        <v>5</v>
      </c>
      <c r="E232">
        <v>4</v>
      </c>
      <c r="F232">
        <v>4</v>
      </c>
      <c r="G232">
        <v>4</v>
      </c>
      <c r="H232">
        <v>7</v>
      </c>
      <c r="I232">
        <v>5</v>
      </c>
      <c r="J232">
        <v>5</v>
      </c>
      <c r="K232">
        <v>4</v>
      </c>
      <c r="L232">
        <v>5</v>
      </c>
      <c r="M232">
        <v>8</v>
      </c>
      <c r="N232">
        <v>7</v>
      </c>
      <c r="O232">
        <v>4</v>
      </c>
      <c r="P232">
        <v>4</v>
      </c>
      <c r="Q232">
        <v>7</v>
      </c>
      <c r="R232">
        <v>5</v>
      </c>
      <c r="S232">
        <v>5</v>
      </c>
      <c r="T232">
        <v>5</v>
      </c>
      <c r="U232">
        <v>4</v>
      </c>
      <c r="V232">
        <v>92</v>
      </c>
      <c r="W232">
        <v>5</v>
      </c>
      <c r="X232" t="s">
        <v>89</v>
      </c>
      <c r="Y232">
        <v>2</v>
      </c>
    </row>
    <row r="233" spans="1:25" x14ac:dyDescent="0.25">
      <c r="A233" t="s">
        <v>31</v>
      </c>
      <c r="B233">
        <v>18</v>
      </c>
      <c r="C233">
        <v>1</v>
      </c>
      <c r="D233">
        <v>5</v>
      </c>
      <c r="E233">
        <v>5</v>
      </c>
      <c r="F233">
        <v>5</v>
      </c>
      <c r="G233">
        <v>6</v>
      </c>
      <c r="H233">
        <v>6</v>
      </c>
      <c r="I233">
        <v>4</v>
      </c>
      <c r="J233">
        <v>6</v>
      </c>
      <c r="K233">
        <v>5</v>
      </c>
      <c r="L233">
        <v>7</v>
      </c>
      <c r="M233">
        <v>4</v>
      </c>
      <c r="N233">
        <v>3</v>
      </c>
      <c r="O233">
        <v>6</v>
      </c>
      <c r="P233">
        <v>4</v>
      </c>
      <c r="Q233">
        <v>5</v>
      </c>
      <c r="R233">
        <v>5</v>
      </c>
      <c r="S233">
        <v>5</v>
      </c>
      <c r="T233">
        <v>6</v>
      </c>
      <c r="U233">
        <v>5</v>
      </c>
      <c r="V233">
        <v>92</v>
      </c>
      <c r="W233">
        <v>3</v>
      </c>
      <c r="X233" t="s">
        <v>66</v>
      </c>
      <c r="Y233">
        <v>5</v>
      </c>
    </row>
    <row r="234" spans="1:25" x14ac:dyDescent="0.25">
      <c r="A234" t="s">
        <v>31</v>
      </c>
      <c r="B234">
        <v>18</v>
      </c>
      <c r="C234">
        <v>1</v>
      </c>
      <c r="D234">
        <v>5</v>
      </c>
      <c r="E234">
        <v>5</v>
      </c>
      <c r="F234">
        <v>5</v>
      </c>
      <c r="G234">
        <v>6</v>
      </c>
      <c r="H234">
        <v>6</v>
      </c>
      <c r="I234">
        <v>4</v>
      </c>
      <c r="J234">
        <v>6</v>
      </c>
      <c r="K234">
        <v>5</v>
      </c>
      <c r="L234">
        <v>7</v>
      </c>
      <c r="M234">
        <v>4</v>
      </c>
      <c r="N234">
        <v>3</v>
      </c>
      <c r="O234">
        <v>6</v>
      </c>
      <c r="P234">
        <v>4</v>
      </c>
      <c r="Q234">
        <v>5</v>
      </c>
      <c r="R234">
        <v>5</v>
      </c>
      <c r="S234">
        <v>5</v>
      </c>
      <c r="T234">
        <v>6</v>
      </c>
      <c r="U234">
        <v>5</v>
      </c>
      <c r="V234">
        <v>92</v>
      </c>
      <c r="W234">
        <v>3</v>
      </c>
      <c r="X234" t="s">
        <v>65</v>
      </c>
      <c r="Y234">
        <v>1</v>
      </c>
    </row>
    <row r="235" spans="1:25" x14ac:dyDescent="0.25">
      <c r="A235" t="s">
        <v>31</v>
      </c>
      <c r="B235">
        <v>18</v>
      </c>
      <c r="C235">
        <v>1</v>
      </c>
      <c r="D235">
        <v>5</v>
      </c>
      <c r="E235">
        <v>5</v>
      </c>
      <c r="F235">
        <v>5</v>
      </c>
      <c r="G235">
        <v>6</v>
      </c>
      <c r="H235">
        <v>6</v>
      </c>
      <c r="I235">
        <v>4</v>
      </c>
      <c r="J235">
        <v>6</v>
      </c>
      <c r="K235">
        <v>5</v>
      </c>
      <c r="L235">
        <v>7</v>
      </c>
      <c r="M235">
        <v>4</v>
      </c>
      <c r="N235">
        <v>3</v>
      </c>
      <c r="O235">
        <v>6</v>
      </c>
      <c r="P235">
        <v>4</v>
      </c>
      <c r="Q235">
        <v>5</v>
      </c>
      <c r="R235">
        <v>5</v>
      </c>
      <c r="S235">
        <v>5</v>
      </c>
      <c r="T235">
        <v>6</v>
      </c>
      <c r="U235">
        <v>5</v>
      </c>
      <c r="V235">
        <v>92</v>
      </c>
      <c r="W235">
        <v>3</v>
      </c>
      <c r="X235" t="s">
        <v>64</v>
      </c>
      <c r="Y235">
        <v>0</v>
      </c>
    </row>
    <row r="236" spans="1:25" x14ac:dyDescent="0.25">
      <c r="A236" t="s">
        <v>31</v>
      </c>
      <c r="B236">
        <v>18</v>
      </c>
      <c r="C236">
        <v>1</v>
      </c>
      <c r="D236">
        <v>5</v>
      </c>
      <c r="E236">
        <v>5</v>
      </c>
      <c r="F236">
        <v>5</v>
      </c>
      <c r="G236">
        <v>6</v>
      </c>
      <c r="H236">
        <v>6</v>
      </c>
      <c r="I236">
        <v>4</v>
      </c>
      <c r="J236">
        <v>6</v>
      </c>
      <c r="K236">
        <v>5</v>
      </c>
      <c r="L236">
        <v>7</v>
      </c>
      <c r="M236">
        <v>4</v>
      </c>
      <c r="N236">
        <v>3</v>
      </c>
      <c r="O236">
        <v>6</v>
      </c>
      <c r="P236">
        <v>4</v>
      </c>
      <c r="Q236">
        <v>5</v>
      </c>
      <c r="R236">
        <v>5</v>
      </c>
      <c r="S236">
        <v>5</v>
      </c>
      <c r="T236">
        <v>6</v>
      </c>
      <c r="U236">
        <v>5</v>
      </c>
      <c r="V236">
        <v>92</v>
      </c>
      <c r="W236">
        <v>3</v>
      </c>
      <c r="X236" t="s">
        <v>67</v>
      </c>
      <c r="Y236">
        <v>5</v>
      </c>
    </row>
    <row r="237" spans="1:25" x14ac:dyDescent="0.25">
      <c r="A237" t="s">
        <v>31</v>
      </c>
      <c r="B237">
        <v>18</v>
      </c>
      <c r="C237">
        <v>1</v>
      </c>
      <c r="D237">
        <v>5</v>
      </c>
      <c r="E237">
        <v>5</v>
      </c>
      <c r="F237">
        <v>5</v>
      </c>
      <c r="G237">
        <v>6</v>
      </c>
      <c r="H237">
        <v>6</v>
      </c>
      <c r="I237">
        <v>4</v>
      </c>
      <c r="J237">
        <v>6</v>
      </c>
      <c r="K237">
        <v>5</v>
      </c>
      <c r="L237">
        <v>7</v>
      </c>
      <c r="M237">
        <v>4</v>
      </c>
      <c r="N237">
        <v>3</v>
      </c>
      <c r="O237">
        <v>6</v>
      </c>
      <c r="P237">
        <v>4</v>
      </c>
      <c r="Q237">
        <v>5</v>
      </c>
      <c r="R237">
        <v>5</v>
      </c>
      <c r="S237">
        <v>5</v>
      </c>
      <c r="T237">
        <v>6</v>
      </c>
      <c r="U237">
        <v>5</v>
      </c>
      <c r="V237">
        <v>92</v>
      </c>
      <c r="W237">
        <v>3</v>
      </c>
      <c r="X237" t="s">
        <v>88</v>
      </c>
      <c r="Y237">
        <v>4</v>
      </c>
    </row>
    <row r="238" spans="1:25" x14ac:dyDescent="0.25">
      <c r="A238" t="s">
        <v>31</v>
      </c>
      <c r="B238">
        <v>18</v>
      </c>
      <c r="C238">
        <v>1</v>
      </c>
      <c r="D238">
        <v>5</v>
      </c>
      <c r="E238">
        <v>5</v>
      </c>
      <c r="F238">
        <v>5</v>
      </c>
      <c r="G238">
        <v>6</v>
      </c>
      <c r="H238">
        <v>6</v>
      </c>
      <c r="I238">
        <v>4</v>
      </c>
      <c r="J238">
        <v>6</v>
      </c>
      <c r="K238">
        <v>5</v>
      </c>
      <c r="L238">
        <v>7</v>
      </c>
      <c r="M238">
        <v>4</v>
      </c>
      <c r="N238">
        <v>3</v>
      </c>
      <c r="O238">
        <v>6</v>
      </c>
      <c r="P238">
        <v>4</v>
      </c>
      <c r="Q238">
        <v>5</v>
      </c>
      <c r="R238">
        <v>5</v>
      </c>
      <c r="S238">
        <v>5</v>
      </c>
      <c r="T238">
        <v>6</v>
      </c>
      <c r="U238">
        <v>5</v>
      </c>
      <c r="V238">
        <v>92</v>
      </c>
      <c r="W238">
        <v>3</v>
      </c>
      <c r="X238" t="s">
        <v>69</v>
      </c>
      <c r="Y238">
        <v>3</v>
      </c>
    </row>
    <row r="239" spans="1:25" x14ac:dyDescent="0.25">
      <c r="A239" t="s">
        <v>31</v>
      </c>
      <c r="B239">
        <v>18</v>
      </c>
      <c r="C239">
        <v>1</v>
      </c>
      <c r="D239">
        <v>5</v>
      </c>
      <c r="E239">
        <v>5</v>
      </c>
      <c r="F239">
        <v>5</v>
      </c>
      <c r="G239">
        <v>6</v>
      </c>
      <c r="H239">
        <v>6</v>
      </c>
      <c r="I239">
        <v>4</v>
      </c>
      <c r="J239">
        <v>6</v>
      </c>
      <c r="K239">
        <v>5</v>
      </c>
      <c r="L239">
        <v>7</v>
      </c>
      <c r="M239">
        <v>4</v>
      </c>
      <c r="N239">
        <v>3</v>
      </c>
      <c r="O239">
        <v>6</v>
      </c>
      <c r="P239">
        <v>4</v>
      </c>
      <c r="Q239">
        <v>5</v>
      </c>
      <c r="R239">
        <v>5</v>
      </c>
      <c r="S239">
        <v>5</v>
      </c>
      <c r="T239">
        <v>6</v>
      </c>
      <c r="U239">
        <v>5</v>
      </c>
      <c r="V239">
        <v>92</v>
      </c>
      <c r="W239">
        <v>3</v>
      </c>
      <c r="X239" t="s">
        <v>89</v>
      </c>
      <c r="Y239">
        <v>0</v>
      </c>
    </row>
    <row r="240" spans="1:25" x14ac:dyDescent="0.25">
      <c r="A240" t="s">
        <v>48</v>
      </c>
      <c r="B240">
        <v>20</v>
      </c>
      <c r="C240">
        <v>2</v>
      </c>
      <c r="D240">
        <v>5</v>
      </c>
      <c r="E240">
        <v>7</v>
      </c>
      <c r="F240">
        <v>6</v>
      </c>
      <c r="G240">
        <v>5</v>
      </c>
      <c r="H240">
        <v>5</v>
      </c>
      <c r="I240">
        <v>5</v>
      </c>
      <c r="J240">
        <v>3</v>
      </c>
      <c r="K240">
        <v>6</v>
      </c>
      <c r="L240">
        <v>4</v>
      </c>
      <c r="M240">
        <v>6</v>
      </c>
      <c r="N240">
        <v>5</v>
      </c>
      <c r="O240">
        <v>4</v>
      </c>
      <c r="P240">
        <v>4</v>
      </c>
      <c r="Q240">
        <v>6</v>
      </c>
      <c r="R240">
        <v>6</v>
      </c>
      <c r="S240">
        <v>4</v>
      </c>
      <c r="T240">
        <v>5</v>
      </c>
      <c r="U240">
        <v>6</v>
      </c>
      <c r="V240">
        <v>92</v>
      </c>
      <c r="W240">
        <v>1</v>
      </c>
      <c r="X240" t="s">
        <v>66</v>
      </c>
      <c r="Y240">
        <v>6</v>
      </c>
    </row>
    <row r="241" spans="1:25" x14ac:dyDescent="0.25">
      <c r="A241" t="s">
        <v>48</v>
      </c>
      <c r="B241">
        <v>20</v>
      </c>
      <c r="C241">
        <v>2</v>
      </c>
      <c r="D241">
        <v>5</v>
      </c>
      <c r="E241">
        <v>7</v>
      </c>
      <c r="F241">
        <v>6</v>
      </c>
      <c r="G241">
        <v>5</v>
      </c>
      <c r="H241">
        <v>5</v>
      </c>
      <c r="I241">
        <v>5</v>
      </c>
      <c r="J241">
        <v>3</v>
      </c>
      <c r="K241">
        <v>6</v>
      </c>
      <c r="L241">
        <v>4</v>
      </c>
      <c r="M241">
        <v>6</v>
      </c>
      <c r="N241">
        <v>5</v>
      </c>
      <c r="O241">
        <v>4</v>
      </c>
      <c r="P241">
        <v>4</v>
      </c>
      <c r="Q241">
        <v>6</v>
      </c>
      <c r="R241">
        <v>6</v>
      </c>
      <c r="S241">
        <v>4</v>
      </c>
      <c r="T241">
        <v>5</v>
      </c>
      <c r="U241">
        <v>6</v>
      </c>
      <c r="V241">
        <v>92</v>
      </c>
      <c r="W241">
        <v>1</v>
      </c>
      <c r="X241" t="s">
        <v>65</v>
      </c>
      <c r="Y241">
        <v>0</v>
      </c>
    </row>
    <row r="242" spans="1:25" x14ac:dyDescent="0.25">
      <c r="A242" t="s">
        <v>48</v>
      </c>
      <c r="B242">
        <v>20</v>
      </c>
      <c r="C242">
        <v>2</v>
      </c>
      <c r="D242">
        <v>5</v>
      </c>
      <c r="E242">
        <v>7</v>
      </c>
      <c r="F242">
        <v>6</v>
      </c>
      <c r="G242">
        <v>5</v>
      </c>
      <c r="H242">
        <v>5</v>
      </c>
      <c r="I242">
        <v>5</v>
      </c>
      <c r="J242">
        <v>3</v>
      </c>
      <c r="K242">
        <v>6</v>
      </c>
      <c r="L242">
        <v>4</v>
      </c>
      <c r="M242">
        <v>6</v>
      </c>
      <c r="N242">
        <v>5</v>
      </c>
      <c r="O242">
        <v>4</v>
      </c>
      <c r="P242">
        <v>4</v>
      </c>
      <c r="Q242">
        <v>6</v>
      </c>
      <c r="R242">
        <v>6</v>
      </c>
      <c r="S242">
        <v>4</v>
      </c>
      <c r="T242">
        <v>5</v>
      </c>
      <c r="U242">
        <v>6</v>
      </c>
      <c r="V242">
        <v>92</v>
      </c>
      <c r="W242">
        <v>1</v>
      </c>
      <c r="X242" t="s">
        <v>64</v>
      </c>
      <c r="Y242">
        <v>0</v>
      </c>
    </row>
    <row r="243" spans="1:25" x14ac:dyDescent="0.25">
      <c r="A243" t="s">
        <v>48</v>
      </c>
      <c r="B243">
        <v>20</v>
      </c>
      <c r="C243">
        <v>2</v>
      </c>
      <c r="D243">
        <v>5</v>
      </c>
      <c r="E243">
        <v>7</v>
      </c>
      <c r="F243">
        <v>6</v>
      </c>
      <c r="G243">
        <v>5</v>
      </c>
      <c r="H243">
        <v>5</v>
      </c>
      <c r="I243">
        <v>5</v>
      </c>
      <c r="J243">
        <v>3</v>
      </c>
      <c r="K243">
        <v>6</v>
      </c>
      <c r="L243">
        <v>4</v>
      </c>
      <c r="M243">
        <v>6</v>
      </c>
      <c r="N243">
        <v>5</v>
      </c>
      <c r="O243">
        <v>4</v>
      </c>
      <c r="P243">
        <v>4</v>
      </c>
      <c r="Q243">
        <v>6</v>
      </c>
      <c r="R243">
        <v>6</v>
      </c>
      <c r="S243">
        <v>4</v>
      </c>
      <c r="T243">
        <v>5</v>
      </c>
      <c r="U243">
        <v>6</v>
      </c>
      <c r="V243">
        <v>92</v>
      </c>
      <c r="W243">
        <v>1</v>
      </c>
      <c r="X243" t="s">
        <v>67</v>
      </c>
      <c r="Y243">
        <v>4</v>
      </c>
    </row>
    <row r="244" spans="1:25" x14ac:dyDescent="0.25">
      <c r="A244" t="s">
        <v>48</v>
      </c>
      <c r="B244">
        <v>20</v>
      </c>
      <c r="C244">
        <v>2</v>
      </c>
      <c r="D244">
        <v>5</v>
      </c>
      <c r="E244">
        <v>7</v>
      </c>
      <c r="F244">
        <v>6</v>
      </c>
      <c r="G244">
        <v>5</v>
      </c>
      <c r="H244">
        <v>5</v>
      </c>
      <c r="I244">
        <v>5</v>
      </c>
      <c r="J244">
        <v>3</v>
      </c>
      <c r="K244">
        <v>6</v>
      </c>
      <c r="L244">
        <v>4</v>
      </c>
      <c r="M244">
        <v>6</v>
      </c>
      <c r="N244">
        <v>5</v>
      </c>
      <c r="O244">
        <v>4</v>
      </c>
      <c r="P244">
        <v>4</v>
      </c>
      <c r="Q244">
        <v>6</v>
      </c>
      <c r="R244">
        <v>6</v>
      </c>
      <c r="S244">
        <v>4</v>
      </c>
      <c r="T244">
        <v>5</v>
      </c>
      <c r="U244">
        <v>6</v>
      </c>
      <c r="V244">
        <v>92</v>
      </c>
      <c r="W244">
        <v>1</v>
      </c>
      <c r="X244" t="s">
        <v>88</v>
      </c>
      <c r="Y244">
        <v>7</v>
      </c>
    </row>
    <row r="245" spans="1:25" x14ac:dyDescent="0.25">
      <c r="A245" t="s">
        <v>48</v>
      </c>
      <c r="B245">
        <v>20</v>
      </c>
      <c r="C245">
        <v>2</v>
      </c>
      <c r="D245">
        <v>5</v>
      </c>
      <c r="E245">
        <v>7</v>
      </c>
      <c r="F245">
        <v>6</v>
      </c>
      <c r="G245">
        <v>5</v>
      </c>
      <c r="H245">
        <v>5</v>
      </c>
      <c r="I245">
        <v>5</v>
      </c>
      <c r="J245">
        <v>3</v>
      </c>
      <c r="K245">
        <v>6</v>
      </c>
      <c r="L245">
        <v>4</v>
      </c>
      <c r="M245">
        <v>6</v>
      </c>
      <c r="N245">
        <v>5</v>
      </c>
      <c r="O245">
        <v>4</v>
      </c>
      <c r="P245">
        <v>4</v>
      </c>
      <c r="Q245">
        <v>6</v>
      </c>
      <c r="R245">
        <v>6</v>
      </c>
      <c r="S245">
        <v>4</v>
      </c>
      <c r="T245">
        <v>5</v>
      </c>
      <c r="U245">
        <v>6</v>
      </c>
      <c r="V245">
        <v>92</v>
      </c>
      <c r="W245">
        <v>1</v>
      </c>
      <c r="X245" t="s">
        <v>69</v>
      </c>
      <c r="Y245">
        <v>1</v>
      </c>
    </row>
    <row r="246" spans="1:25" x14ac:dyDescent="0.25">
      <c r="A246" t="s">
        <v>48</v>
      </c>
      <c r="B246">
        <v>20</v>
      </c>
      <c r="C246">
        <v>2</v>
      </c>
      <c r="D246">
        <v>5</v>
      </c>
      <c r="E246">
        <v>7</v>
      </c>
      <c r="F246">
        <v>6</v>
      </c>
      <c r="G246">
        <v>5</v>
      </c>
      <c r="H246">
        <v>5</v>
      </c>
      <c r="I246">
        <v>5</v>
      </c>
      <c r="J246">
        <v>3</v>
      </c>
      <c r="K246">
        <v>6</v>
      </c>
      <c r="L246">
        <v>4</v>
      </c>
      <c r="M246">
        <v>6</v>
      </c>
      <c r="N246">
        <v>5</v>
      </c>
      <c r="O246">
        <v>4</v>
      </c>
      <c r="P246">
        <v>4</v>
      </c>
      <c r="Q246">
        <v>6</v>
      </c>
      <c r="R246">
        <v>6</v>
      </c>
      <c r="S246">
        <v>4</v>
      </c>
      <c r="T246">
        <v>5</v>
      </c>
      <c r="U246">
        <v>6</v>
      </c>
      <c r="V246">
        <v>92</v>
      </c>
      <c r="W246">
        <v>1</v>
      </c>
      <c r="X246" t="s">
        <v>89</v>
      </c>
      <c r="Y246">
        <v>0</v>
      </c>
    </row>
    <row r="247" spans="1:25" x14ac:dyDescent="0.25">
      <c r="A247" t="s">
        <v>27</v>
      </c>
      <c r="B247">
        <v>26</v>
      </c>
      <c r="C247">
        <v>2</v>
      </c>
      <c r="D247">
        <v>6</v>
      </c>
      <c r="E247">
        <v>7</v>
      </c>
      <c r="F247">
        <v>5</v>
      </c>
      <c r="G247">
        <v>4</v>
      </c>
      <c r="H247">
        <v>5</v>
      </c>
      <c r="I247">
        <v>4</v>
      </c>
      <c r="J247">
        <v>5</v>
      </c>
      <c r="K247">
        <v>6</v>
      </c>
      <c r="L247">
        <v>6</v>
      </c>
      <c r="M247">
        <v>6</v>
      </c>
      <c r="N247">
        <v>6</v>
      </c>
      <c r="O247">
        <v>3</v>
      </c>
      <c r="P247">
        <v>5</v>
      </c>
      <c r="Q247">
        <v>5</v>
      </c>
      <c r="R247">
        <v>5</v>
      </c>
      <c r="S247">
        <v>3</v>
      </c>
      <c r="T247">
        <v>5</v>
      </c>
      <c r="U247">
        <v>6</v>
      </c>
      <c r="V247">
        <v>92</v>
      </c>
      <c r="W247">
        <v>-5</v>
      </c>
      <c r="X247" t="s">
        <v>66</v>
      </c>
      <c r="Y247">
        <v>2</v>
      </c>
    </row>
    <row r="248" spans="1:25" x14ac:dyDescent="0.25">
      <c r="A248" t="s">
        <v>27</v>
      </c>
      <c r="B248">
        <v>26</v>
      </c>
      <c r="C248">
        <v>2</v>
      </c>
      <c r="D248">
        <v>6</v>
      </c>
      <c r="E248">
        <v>7</v>
      </c>
      <c r="F248">
        <v>5</v>
      </c>
      <c r="G248">
        <v>4</v>
      </c>
      <c r="H248">
        <v>5</v>
      </c>
      <c r="I248">
        <v>4</v>
      </c>
      <c r="J248">
        <v>5</v>
      </c>
      <c r="K248">
        <v>6</v>
      </c>
      <c r="L248">
        <v>6</v>
      </c>
      <c r="M248">
        <v>6</v>
      </c>
      <c r="N248">
        <v>6</v>
      </c>
      <c r="O248">
        <v>3</v>
      </c>
      <c r="P248">
        <v>5</v>
      </c>
      <c r="Q248">
        <v>5</v>
      </c>
      <c r="R248">
        <v>5</v>
      </c>
      <c r="S248">
        <v>3</v>
      </c>
      <c r="T248">
        <v>5</v>
      </c>
      <c r="U248">
        <v>6</v>
      </c>
      <c r="V248">
        <v>92</v>
      </c>
      <c r="W248">
        <v>-5</v>
      </c>
      <c r="X248" t="s">
        <v>65</v>
      </c>
      <c r="Y248">
        <v>2</v>
      </c>
    </row>
    <row r="249" spans="1:25" x14ac:dyDescent="0.25">
      <c r="A249" t="s">
        <v>27</v>
      </c>
      <c r="B249">
        <v>26</v>
      </c>
      <c r="C249">
        <v>2</v>
      </c>
      <c r="D249">
        <v>6</v>
      </c>
      <c r="E249">
        <v>7</v>
      </c>
      <c r="F249">
        <v>5</v>
      </c>
      <c r="G249">
        <v>4</v>
      </c>
      <c r="H249">
        <v>5</v>
      </c>
      <c r="I249">
        <v>4</v>
      </c>
      <c r="J249">
        <v>5</v>
      </c>
      <c r="K249">
        <v>6</v>
      </c>
      <c r="L249">
        <v>6</v>
      </c>
      <c r="M249">
        <v>6</v>
      </c>
      <c r="N249">
        <v>6</v>
      </c>
      <c r="O249">
        <v>3</v>
      </c>
      <c r="P249">
        <v>5</v>
      </c>
      <c r="Q249">
        <v>5</v>
      </c>
      <c r="R249">
        <v>5</v>
      </c>
      <c r="S249">
        <v>3</v>
      </c>
      <c r="T249">
        <v>5</v>
      </c>
      <c r="U249">
        <v>6</v>
      </c>
      <c r="V249">
        <v>92</v>
      </c>
      <c r="W249">
        <v>-5</v>
      </c>
      <c r="X249" t="s">
        <v>64</v>
      </c>
      <c r="Y249">
        <v>0</v>
      </c>
    </row>
    <row r="250" spans="1:25" x14ac:dyDescent="0.25">
      <c r="A250" t="s">
        <v>27</v>
      </c>
      <c r="B250">
        <v>26</v>
      </c>
      <c r="C250">
        <v>2</v>
      </c>
      <c r="D250">
        <v>6</v>
      </c>
      <c r="E250">
        <v>7</v>
      </c>
      <c r="F250">
        <v>5</v>
      </c>
      <c r="G250">
        <v>4</v>
      </c>
      <c r="H250">
        <v>5</v>
      </c>
      <c r="I250">
        <v>4</v>
      </c>
      <c r="J250">
        <v>5</v>
      </c>
      <c r="K250">
        <v>6</v>
      </c>
      <c r="L250">
        <v>6</v>
      </c>
      <c r="M250">
        <v>6</v>
      </c>
      <c r="N250">
        <v>6</v>
      </c>
      <c r="O250">
        <v>3</v>
      </c>
      <c r="P250">
        <v>5</v>
      </c>
      <c r="Q250">
        <v>5</v>
      </c>
      <c r="R250">
        <v>5</v>
      </c>
      <c r="S250">
        <v>3</v>
      </c>
      <c r="T250">
        <v>5</v>
      </c>
      <c r="U250">
        <v>6</v>
      </c>
      <c r="V250">
        <v>92</v>
      </c>
      <c r="W250">
        <v>-5</v>
      </c>
      <c r="X250" t="s">
        <v>67</v>
      </c>
      <c r="Y250">
        <v>7</v>
      </c>
    </row>
    <row r="251" spans="1:25" x14ac:dyDescent="0.25">
      <c r="A251" t="s">
        <v>27</v>
      </c>
      <c r="B251">
        <v>26</v>
      </c>
      <c r="C251">
        <v>2</v>
      </c>
      <c r="D251">
        <v>6</v>
      </c>
      <c r="E251">
        <v>7</v>
      </c>
      <c r="F251">
        <v>5</v>
      </c>
      <c r="G251">
        <v>4</v>
      </c>
      <c r="H251">
        <v>5</v>
      </c>
      <c r="I251">
        <v>4</v>
      </c>
      <c r="J251">
        <v>5</v>
      </c>
      <c r="K251">
        <v>6</v>
      </c>
      <c r="L251">
        <v>6</v>
      </c>
      <c r="M251">
        <v>6</v>
      </c>
      <c r="N251">
        <v>6</v>
      </c>
      <c r="O251">
        <v>3</v>
      </c>
      <c r="P251">
        <v>5</v>
      </c>
      <c r="Q251">
        <v>5</v>
      </c>
      <c r="R251">
        <v>5</v>
      </c>
      <c r="S251">
        <v>3</v>
      </c>
      <c r="T251">
        <v>5</v>
      </c>
      <c r="U251">
        <v>6</v>
      </c>
      <c r="V251">
        <v>92</v>
      </c>
      <c r="W251">
        <v>-5</v>
      </c>
      <c r="X251" t="s">
        <v>88</v>
      </c>
      <c r="Y251">
        <v>5</v>
      </c>
    </row>
    <row r="252" spans="1:25" x14ac:dyDescent="0.25">
      <c r="A252" t="s">
        <v>27</v>
      </c>
      <c r="B252">
        <v>26</v>
      </c>
      <c r="C252">
        <v>2</v>
      </c>
      <c r="D252">
        <v>6</v>
      </c>
      <c r="E252">
        <v>7</v>
      </c>
      <c r="F252">
        <v>5</v>
      </c>
      <c r="G252">
        <v>4</v>
      </c>
      <c r="H252">
        <v>5</v>
      </c>
      <c r="I252">
        <v>4</v>
      </c>
      <c r="J252">
        <v>5</v>
      </c>
      <c r="K252">
        <v>6</v>
      </c>
      <c r="L252">
        <v>6</v>
      </c>
      <c r="M252">
        <v>6</v>
      </c>
      <c r="N252">
        <v>6</v>
      </c>
      <c r="O252">
        <v>3</v>
      </c>
      <c r="P252">
        <v>5</v>
      </c>
      <c r="Q252">
        <v>5</v>
      </c>
      <c r="R252">
        <v>5</v>
      </c>
      <c r="S252">
        <v>3</v>
      </c>
      <c r="T252">
        <v>5</v>
      </c>
      <c r="U252">
        <v>6</v>
      </c>
      <c r="V252">
        <v>92</v>
      </c>
      <c r="W252">
        <v>-5</v>
      </c>
      <c r="X252" t="s">
        <v>69</v>
      </c>
      <c r="Y252">
        <v>2</v>
      </c>
    </row>
    <row r="253" spans="1:25" x14ac:dyDescent="0.25">
      <c r="A253" t="s">
        <v>27</v>
      </c>
      <c r="B253">
        <v>26</v>
      </c>
      <c r="C253">
        <v>2</v>
      </c>
      <c r="D253">
        <v>6</v>
      </c>
      <c r="E253">
        <v>7</v>
      </c>
      <c r="F253">
        <v>5</v>
      </c>
      <c r="G253">
        <v>4</v>
      </c>
      <c r="H253">
        <v>5</v>
      </c>
      <c r="I253">
        <v>4</v>
      </c>
      <c r="J253">
        <v>5</v>
      </c>
      <c r="K253">
        <v>6</v>
      </c>
      <c r="L253">
        <v>6</v>
      </c>
      <c r="M253">
        <v>6</v>
      </c>
      <c r="N253">
        <v>6</v>
      </c>
      <c r="O253">
        <v>3</v>
      </c>
      <c r="P253">
        <v>5</v>
      </c>
      <c r="Q253">
        <v>5</v>
      </c>
      <c r="R253">
        <v>5</v>
      </c>
      <c r="S253">
        <v>3</v>
      </c>
      <c r="T253">
        <v>5</v>
      </c>
      <c r="U253">
        <v>6</v>
      </c>
      <c r="V253">
        <v>92</v>
      </c>
      <c r="W253">
        <v>-5</v>
      </c>
      <c r="X253" t="s">
        <v>89</v>
      </c>
      <c r="Y253">
        <v>0</v>
      </c>
    </row>
    <row r="254" spans="1:25" x14ac:dyDescent="0.25">
      <c r="A254" t="s">
        <v>25</v>
      </c>
      <c r="B254">
        <v>20</v>
      </c>
      <c r="C254">
        <v>2</v>
      </c>
      <c r="D254">
        <v>5</v>
      </c>
      <c r="E254">
        <v>5</v>
      </c>
      <c r="F254">
        <v>5</v>
      </c>
      <c r="G254">
        <v>4</v>
      </c>
      <c r="H254">
        <v>7</v>
      </c>
      <c r="I254">
        <v>7</v>
      </c>
      <c r="J254">
        <v>4</v>
      </c>
      <c r="K254">
        <v>6</v>
      </c>
      <c r="L254">
        <v>7</v>
      </c>
      <c r="M254">
        <v>7</v>
      </c>
      <c r="N254">
        <v>4</v>
      </c>
      <c r="O254">
        <v>4</v>
      </c>
      <c r="P254">
        <v>4</v>
      </c>
      <c r="Q254">
        <v>6</v>
      </c>
      <c r="R254">
        <v>5</v>
      </c>
      <c r="S254">
        <v>2</v>
      </c>
      <c r="T254">
        <v>5</v>
      </c>
      <c r="U254">
        <v>6</v>
      </c>
      <c r="V254">
        <v>93</v>
      </c>
      <c r="W254">
        <v>2</v>
      </c>
      <c r="X254" t="s">
        <v>66</v>
      </c>
      <c r="Y254">
        <v>3</v>
      </c>
    </row>
    <row r="255" spans="1:25" x14ac:dyDescent="0.25">
      <c r="A255" t="s">
        <v>25</v>
      </c>
      <c r="B255">
        <v>20</v>
      </c>
      <c r="C255">
        <v>2</v>
      </c>
      <c r="D255">
        <v>5</v>
      </c>
      <c r="E255">
        <v>5</v>
      </c>
      <c r="F255">
        <v>5</v>
      </c>
      <c r="G255">
        <v>4</v>
      </c>
      <c r="H255">
        <v>7</v>
      </c>
      <c r="I255">
        <v>7</v>
      </c>
      <c r="J255">
        <v>4</v>
      </c>
      <c r="K255">
        <v>6</v>
      </c>
      <c r="L255">
        <v>7</v>
      </c>
      <c r="M255">
        <v>7</v>
      </c>
      <c r="N255">
        <v>4</v>
      </c>
      <c r="O255">
        <v>4</v>
      </c>
      <c r="P255">
        <v>4</v>
      </c>
      <c r="Q255">
        <v>6</v>
      </c>
      <c r="R255">
        <v>5</v>
      </c>
      <c r="S255">
        <v>2</v>
      </c>
      <c r="T255">
        <v>5</v>
      </c>
      <c r="U255">
        <v>6</v>
      </c>
      <c r="V255">
        <v>93</v>
      </c>
      <c r="W255">
        <v>2</v>
      </c>
      <c r="X255" t="s">
        <v>65</v>
      </c>
      <c r="Y255">
        <v>1</v>
      </c>
    </row>
    <row r="256" spans="1:25" x14ac:dyDescent="0.25">
      <c r="A256" t="s">
        <v>25</v>
      </c>
      <c r="B256">
        <v>20</v>
      </c>
      <c r="C256">
        <v>2</v>
      </c>
      <c r="D256">
        <v>5</v>
      </c>
      <c r="E256">
        <v>5</v>
      </c>
      <c r="F256">
        <v>5</v>
      </c>
      <c r="G256">
        <v>4</v>
      </c>
      <c r="H256">
        <v>7</v>
      </c>
      <c r="I256">
        <v>7</v>
      </c>
      <c r="J256">
        <v>4</v>
      </c>
      <c r="K256">
        <v>6</v>
      </c>
      <c r="L256">
        <v>7</v>
      </c>
      <c r="M256">
        <v>7</v>
      </c>
      <c r="N256">
        <v>4</v>
      </c>
      <c r="O256">
        <v>4</v>
      </c>
      <c r="P256">
        <v>4</v>
      </c>
      <c r="Q256">
        <v>6</v>
      </c>
      <c r="R256">
        <v>5</v>
      </c>
      <c r="S256">
        <v>2</v>
      </c>
      <c r="T256">
        <v>5</v>
      </c>
      <c r="U256">
        <v>6</v>
      </c>
      <c r="V256">
        <v>93</v>
      </c>
      <c r="W256">
        <v>2</v>
      </c>
      <c r="X256" t="s">
        <v>64</v>
      </c>
      <c r="Y256">
        <v>0</v>
      </c>
    </row>
    <row r="257" spans="1:25" x14ac:dyDescent="0.25">
      <c r="A257" t="s">
        <v>25</v>
      </c>
      <c r="B257">
        <v>20</v>
      </c>
      <c r="C257">
        <v>2</v>
      </c>
      <c r="D257">
        <v>5</v>
      </c>
      <c r="E257">
        <v>5</v>
      </c>
      <c r="F257">
        <v>5</v>
      </c>
      <c r="G257">
        <v>4</v>
      </c>
      <c r="H257">
        <v>7</v>
      </c>
      <c r="I257">
        <v>7</v>
      </c>
      <c r="J257">
        <v>4</v>
      </c>
      <c r="K257">
        <v>6</v>
      </c>
      <c r="L257">
        <v>7</v>
      </c>
      <c r="M257">
        <v>7</v>
      </c>
      <c r="N257">
        <v>4</v>
      </c>
      <c r="O257">
        <v>4</v>
      </c>
      <c r="P257">
        <v>4</v>
      </c>
      <c r="Q257">
        <v>6</v>
      </c>
      <c r="R257">
        <v>5</v>
      </c>
      <c r="S257">
        <v>2</v>
      </c>
      <c r="T257">
        <v>5</v>
      </c>
      <c r="U257">
        <v>6</v>
      </c>
      <c r="V257">
        <v>93</v>
      </c>
      <c r="W257">
        <v>2</v>
      </c>
      <c r="X257" t="s">
        <v>67</v>
      </c>
      <c r="Y257">
        <v>8</v>
      </c>
    </row>
    <row r="258" spans="1:25" x14ac:dyDescent="0.25">
      <c r="A258" t="s">
        <v>25</v>
      </c>
      <c r="B258">
        <v>20</v>
      </c>
      <c r="C258">
        <v>2</v>
      </c>
      <c r="D258">
        <v>5</v>
      </c>
      <c r="E258">
        <v>5</v>
      </c>
      <c r="F258">
        <v>5</v>
      </c>
      <c r="G258">
        <v>4</v>
      </c>
      <c r="H258">
        <v>7</v>
      </c>
      <c r="I258">
        <v>7</v>
      </c>
      <c r="J258">
        <v>4</v>
      </c>
      <c r="K258">
        <v>6</v>
      </c>
      <c r="L258">
        <v>7</v>
      </c>
      <c r="M258">
        <v>7</v>
      </c>
      <c r="N258">
        <v>4</v>
      </c>
      <c r="O258">
        <v>4</v>
      </c>
      <c r="P258">
        <v>4</v>
      </c>
      <c r="Q258">
        <v>6</v>
      </c>
      <c r="R258">
        <v>5</v>
      </c>
      <c r="S258">
        <v>2</v>
      </c>
      <c r="T258">
        <v>5</v>
      </c>
      <c r="U258">
        <v>6</v>
      </c>
      <c r="V258">
        <v>93</v>
      </c>
      <c r="W258">
        <v>2</v>
      </c>
      <c r="X258" t="s">
        <v>88</v>
      </c>
      <c r="Y258">
        <v>3</v>
      </c>
    </row>
    <row r="259" spans="1:25" x14ac:dyDescent="0.25">
      <c r="A259" t="s">
        <v>25</v>
      </c>
      <c r="B259">
        <v>20</v>
      </c>
      <c r="C259">
        <v>2</v>
      </c>
      <c r="D259">
        <v>5</v>
      </c>
      <c r="E259">
        <v>5</v>
      </c>
      <c r="F259">
        <v>5</v>
      </c>
      <c r="G259">
        <v>4</v>
      </c>
      <c r="H259">
        <v>7</v>
      </c>
      <c r="I259">
        <v>7</v>
      </c>
      <c r="J259">
        <v>4</v>
      </c>
      <c r="K259">
        <v>6</v>
      </c>
      <c r="L259">
        <v>7</v>
      </c>
      <c r="M259">
        <v>7</v>
      </c>
      <c r="N259">
        <v>4</v>
      </c>
      <c r="O259">
        <v>4</v>
      </c>
      <c r="P259">
        <v>4</v>
      </c>
      <c r="Q259">
        <v>6</v>
      </c>
      <c r="R259">
        <v>5</v>
      </c>
      <c r="S259">
        <v>2</v>
      </c>
      <c r="T259">
        <v>5</v>
      </c>
      <c r="U259">
        <v>6</v>
      </c>
      <c r="V259">
        <v>93</v>
      </c>
      <c r="W259">
        <v>2</v>
      </c>
      <c r="X259" t="s">
        <v>69</v>
      </c>
      <c r="Y259">
        <v>3</v>
      </c>
    </row>
    <row r="260" spans="1:25" x14ac:dyDescent="0.25">
      <c r="A260" t="s">
        <v>25</v>
      </c>
      <c r="B260">
        <v>20</v>
      </c>
      <c r="C260">
        <v>2</v>
      </c>
      <c r="D260">
        <v>5</v>
      </c>
      <c r="E260">
        <v>5</v>
      </c>
      <c r="F260">
        <v>5</v>
      </c>
      <c r="G260">
        <v>4</v>
      </c>
      <c r="H260">
        <v>7</v>
      </c>
      <c r="I260">
        <v>7</v>
      </c>
      <c r="J260">
        <v>4</v>
      </c>
      <c r="K260">
        <v>6</v>
      </c>
      <c r="L260">
        <v>7</v>
      </c>
      <c r="M260">
        <v>7</v>
      </c>
      <c r="N260">
        <v>4</v>
      </c>
      <c r="O260">
        <v>4</v>
      </c>
      <c r="P260">
        <v>4</v>
      </c>
      <c r="Q260">
        <v>6</v>
      </c>
      <c r="R260">
        <v>5</v>
      </c>
      <c r="S260">
        <v>2</v>
      </c>
      <c r="T260">
        <v>5</v>
      </c>
      <c r="U260">
        <v>6</v>
      </c>
      <c r="V260">
        <v>93</v>
      </c>
      <c r="W260">
        <v>2</v>
      </c>
      <c r="X260" t="s">
        <v>89</v>
      </c>
      <c r="Y260">
        <v>0</v>
      </c>
    </row>
    <row r="261" spans="1:25" x14ac:dyDescent="0.25">
      <c r="A261" t="s">
        <v>23</v>
      </c>
      <c r="B261">
        <v>22</v>
      </c>
      <c r="C261">
        <v>2</v>
      </c>
      <c r="D261">
        <v>6</v>
      </c>
      <c r="E261">
        <v>6</v>
      </c>
      <c r="F261">
        <v>5</v>
      </c>
      <c r="G261">
        <v>2</v>
      </c>
      <c r="H261">
        <v>5</v>
      </c>
      <c r="I261">
        <v>6</v>
      </c>
      <c r="J261">
        <v>5</v>
      </c>
      <c r="K261">
        <v>4</v>
      </c>
      <c r="L261">
        <v>5</v>
      </c>
      <c r="M261">
        <v>10</v>
      </c>
      <c r="N261">
        <v>3</v>
      </c>
      <c r="O261">
        <v>5</v>
      </c>
      <c r="P261">
        <v>5</v>
      </c>
      <c r="Q261">
        <v>6</v>
      </c>
      <c r="R261">
        <v>5</v>
      </c>
      <c r="S261">
        <v>4</v>
      </c>
      <c r="T261">
        <v>6</v>
      </c>
      <c r="U261">
        <v>5</v>
      </c>
      <c r="V261">
        <v>93</v>
      </c>
      <c r="W261">
        <v>0</v>
      </c>
      <c r="X261" t="s">
        <v>66</v>
      </c>
      <c r="Y261">
        <v>2</v>
      </c>
    </row>
    <row r="262" spans="1:25" x14ac:dyDescent="0.25">
      <c r="A262" t="s">
        <v>23</v>
      </c>
      <c r="B262">
        <v>22</v>
      </c>
      <c r="C262">
        <v>2</v>
      </c>
      <c r="D262">
        <v>6</v>
      </c>
      <c r="E262">
        <v>6</v>
      </c>
      <c r="F262">
        <v>5</v>
      </c>
      <c r="G262">
        <v>2</v>
      </c>
      <c r="H262">
        <v>5</v>
      </c>
      <c r="I262">
        <v>6</v>
      </c>
      <c r="J262">
        <v>5</v>
      </c>
      <c r="K262">
        <v>4</v>
      </c>
      <c r="L262">
        <v>5</v>
      </c>
      <c r="M262">
        <v>10</v>
      </c>
      <c r="N262">
        <v>3</v>
      </c>
      <c r="O262">
        <v>5</v>
      </c>
      <c r="P262">
        <v>5</v>
      </c>
      <c r="Q262">
        <v>6</v>
      </c>
      <c r="R262">
        <v>5</v>
      </c>
      <c r="S262">
        <v>4</v>
      </c>
      <c r="T262">
        <v>6</v>
      </c>
      <c r="U262">
        <v>5</v>
      </c>
      <c r="V262">
        <v>93</v>
      </c>
      <c r="W262">
        <v>0</v>
      </c>
      <c r="X262" t="s">
        <v>65</v>
      </c>
      <c r="Y262">
        <v>1</v>
      </c>
    </row>
    <row r="263" spans="1:25" x14ac:dyDescent="0.25">
      <c r="A263" t="s">
        <v>23</v>
      </c>
      <c r="B263">
        <v>22</v>
      </c>
      <c r="C263">
        <v>2</v>
      </c>
      <c r="D263">
        <v>6</v>
      </c>
      <c r="E263">
        <v>6</v>
      </c>
      <c r="F263">
        <v>5</v>
      </c>
      <c r="G263">
        <v>2</v>
      </c>
      <c r="H263">
        <v>5</v>
      </c>
      <c r="I263">
        <v>6</v>
      </c>
      <c r="J263">
        <v>5</v>
      </c>
      <c r="K263">
        <v>4</v>
      </c>
      <c r="L263">
        <v>5</v>
      </c>
      <c r="M263">
        <v>10</v>
      </c>
      <c r="N263">
        <v>3</v>
      </c>
      <c r="O263">
        <v>5</v>
      </c>
      <c r="P263">
        <v>5</v>
      </c>
      <c r="Q263">
        <v>6</v>
      </c>
      <c r="R263">
        <v>5</v>
      </c>
      <c r="S263">
        <v>4</v>
      </c>
      <c r="T263">
        <v>6</v>
      </c>
      <c r="U263">
        <v>5</v>
      </c>
      <c r="V263">
        <v>93</v>
      </c>
      <c r="W263">
        <v>0</v>
      </c>
      <c r="X263" t="s">
        <v>64</v>
      </c>
      <c r="Y263">
        <v>0</v>
      </c>
    </row>
    <row r="264" spans="1:25" x14ac:dyDescent="0.25">
      <c r="A264" t="s">
        <v>23</v>
      </c>
      <c r="B264">
        <v>22</v>
      </c>
      <c r="C264">
        <v>2</v>
      </c>
      <c r="D264">
        <v>6</v>
      </c>
      <c r="E264">
        <v>6</v>
      </c>
      <c r="F264">
        <v>5</v>
      </c>
      <c r="G264">
        <v>2</v>
      </c>
      <c r="H264">
        <v>5</v>
      </c>
      <c r="I264">
        <v>6</v>
      </c>
      <c r="J264">
        <v>5</v>
      </c>
      <c r="K264">
        <v>4</v>
      </c>
      <c r="L264">
        <v>5</v>
      </c>
      <c r="M264">
        <v>10</v>
      </c>
      <c r="N264">
        <v>3</v>
      </c>
      <c r="O264">
        <v>5</v>
      </c>
      <c r="P264">
        <v>5</v>
      </c>
      <c r="Q264">
        <v>6</v>
      </c>
      <c r="R264">
        <v>5</v>
      </c>
      <c r="S264">
        <v>4</v>
      </c>
      <c r="T264">
        <v>6</v>
      </c>
      <c r="U264">
        <v>5</v>
      </c>
      <c r="V264">
        <v>93</v>
      </c>
      <c r="W264">
        <v>0</v>
      </c>
      <c r="X264" t="s">
        <v>67</v>
      </c>
      <c r="Y264">
        <v>11</v>
      </c>
    </row>
    <row r="265" spans="1:25" x14ac:dyDescent="0.25">
      <c r="A265" t="s">
        <v>23</v>
      </c>
      <c r="B265">
        <v>22</v>
      </c>
      <c r="C265">
        <v>2</v>
      </c>
      <c r="D265">
        <v>6</v>
      </c>
      <c r="E265">
        <v>6</v>
      </c>
      <c r="F265">
        <v>5</v>
      </c>
      <c r="G265">
        <v>2</v>
      </c>
      <c r="H265">
        <v>5</v>
      </c>
      <c r="I265">
        <v>6</v>
      </c>
      <c r="J265">
        <v>5</v>
      </c>
      <c r="K265">
        <v>4</v>
      </c>
      <c r="L265">
        <v>5</v>
      </c>
      <c r="M265">
        <v>10</v>
      </c>
      <c r="N265">
        <v>3</v>
      </c>
      <c r="O265">
        <v>5</v>
      </c>
      <c r="P265">
        <v>5</v>
      </c>
      <c r="Q265">
        <v>6</v>
      </c>
      <c r="R265">
        <v>5</v>
      </c>
      <c r="S265">
        <v>4</v>
      </c>
      <c r="T265">
        <v>6</v>
      </c>
      <c r="U265">
        <v>5</v>
      </c>
      <c r="V265">
        <v>93</v>
      </c>
      <c r="W265">
        <v>0</v>
      </c>
      <c r="X265" t="s">
        <v>88</v>
      </c>
      <c r="Y265">
        <v>3</v>
      </c>
    </row>
    <row r="266" spans="1:25" x14ac:dyDescent="0.25">
      <c r="A266" t="s">
        <v>23</v>
      </c>
      <c r="B266">
        <v>22</v>
      </c>
      <c r="C266">
        <v>2</v>
      </c>
      <c r="D266">
        <v>6</v>
      </c>
      <c r="E266">
        <v>6</v>
      </c>
      <c r="F266">
        <v>5</v>
      </c>
      <c r="G266">
        <v>2</v>
      </c>
      <c r="H266">
        <v>5</v>
      </c>
      <c r="I266">
        <v>6</v>
      </c>
      <c r="J266">
        <v>5</v>
      </c>
      <c r="K266">
        <v>4</v>
      </c>
      <c r="L266">
        <v>5</v>
      </c>
      <c r="M266">
        <v>10</v>
      </c>
      <c r="N266">
        <v>3</v>
      </c>
      <c r="O266">
        <v>5</v>
      </c>
      <c r="P266">
        <v>5</v>
      </c>
      <c r="Q266">
        <v>6</v>
      </c>
      <c r="R266">
        <v>5</v>
      </c>
      <c r="S266">
        <v>4</v>
      </c>
      <c r="T266">
        <v>6</v>
      </c>
      <c r="U266">
        <v>5</v>
      </c>
      <c r="V266">
        <v>93</v>
      </c>
      <c r="W266">
        <v>0</v>
      </c>
      <c r="X266" t="s">
        <v>69</v>
      </c>
      <c r="Y266">
        <v>0</v>
      </c>
    </row>
    <row r="267" spans="1:25" x14ac:dyDescent="0.25">
      <c r="A267" t="s">
        <v>23</v>
      </c>
      <c r="B267">
        <v>22</v>
      </c>
      <c r="C267">
        <v>2</v>
      </c>
      <c r="D267">
        <v>6</v>
      </c>
      <c r="E267">
        <v>6</v>
      </c>
      <c r="F267">
        <v>5</v>
      </c>
      <c r="G267">
        <v>2</v>
      </c>
      <c r="H267">
        <v>5</v>
      </c>
      <c r="I267">
        <v>6</v>
      </c>
      <c r="J267">
        <v>5</v>
      </c>
      <c r="K267">
        <v>4</v>
      </c>
      <c r="L267">
        <v>5</v>
      </c>
      <c r="M267">
        <v>10</v>
      </c>
      <c r="N267">
        <v>3</v>
      </c>
      <c r="O267">
        <v>5</v>
      </c>
      <c r="P267">
        <v>5</v>
      </c>
      <c r="Q267">
        <v>6</v>
      </c>
      <c r="R267">
        <v>5</v>
      </c>
      <c r="S267">
        <v>4</v>
      </c>
      <c r="T267">
        <v>6</v>
      </c>
      <c r="U267">
        <v>5</v>
      </c>
      <c r="V267">
        <v>93</v>
      </c>
      <c r="W267">
        <v>0</v>
      </c>
      <c r="X267" t="s">
        <v>89</v>
      </c>
      <c r="Y267">
        <v>1</v>
      </c>
    </row>
    <row r="268" spans="1:25" x14ac:dyDescent="0.25">
      <c r="A268" t="s">
        <v>50</v>
      </c>
      <c r="B268">
        <v>25</v>
      </c>
      <c r="C268">
        <v>1</v>
      </c>
      <c r="D268">
        <v>6</v>
      </c>
      <c r="E268">
        <v>6</v>
      </c>
      <c r="F268">
        <v>4</v>
      </c>
      <c r="G268">
        <v>4</v>
      </c>
      <c r="H268">
        <v>4</v>
      </c>
      <c r="I268">
        <v>6</v>
      </c>
      <c r="J268">
        <v>4</v>
      </c>
      <c r="K268">
        <v>6</v>
      </c>
      <c r="L268">
        <v>4</v>
      </c>
      <c r="M268">
        <v>8</v>
      </c>
      <c r="N268">
        <v>6</v>
      </c>
      <c r="O268">
        <v>5</v>
      </c>
      <c r="P268">
        <v>4</v>
      </c>
      <c r="Q268">
        <v>6</v>
      </c>
      <c r="R268">
        <v>6</v>
      </c>
      <c r="S268">
        <v>3</v>
      </c>
      <c r="T268">
        <v>5</v>
      </c>
      <c r="U268">
        <v>7</v>
      </c>
      <c r="V268">
        <v>94</v>
      </c>
      <c r="W268">
        <v>-2</v>
      </c>
      <c r="X268" t="s">
        <v>66</v>
      </c>
      <c r="Y268">
        <v>5</v>
      </c>
    </row>
    <row r="269" spans="1:25" x14ac:dyDescent="0.25">
      <c r="A269" t="s">
        <v>50</v>
      </c>
      <c r="B269">
        <v>25</v>
      </c>
      <c r="C269">
        <v>1</v>
      </c>
      <c r="D269">
        <v>6</v>
      </c>
      <c r="E269">
        <v>6</v>
      </c>
      <c r="F269">
        <v>4</v>
      </c>
      <c r="G269">
        <v>4</v>
      </c>
      <c r="H269">
        <v>4</v>
      </c>
      <c r="I269">
        <v>6</v>
      </c>
      <c r="J269">
        <v>4</v>
      </c>
      <c r="K269">
        <v>6</v>
      </c>
      <c r="L269">
        <v>4</v>
      </c>
      <c r="M269">
        <v>8</v>
      </c>
      <c r="N269">
        <v>6</v>
      </c>
      <c r="O269">
        <v>5</v>
      </c>
      <c r="P269">
        <v>4</v>
      </c>
      <c r="Q269">
        <v>6</v>
      </c>
      <c r="R269">
        <v>6</v>
      </c>
      <c r="S269">
        <v>3</v>
      </c>
      <c r="T269">
        <v>5</v>
      </c>
      <c r="U269">
        <v>7</v>
      </c>
      <c r="V269">
        <v>94</v>
      </c>
      <c r="W269">
        <v>-2</v>
      </c>
      <c r="X269" t="s">
        <v>65</v>
      </c>
      <c r="Y269">
        <v>0</v>
      </c>
    </row>
    <row r="270" spans="1:25" x14ac:dyDescent="0.25">
      <c r="A270" t="s">
        <v>50</v>
      </c>
      <c r="B270">
        <v>25</v>
      </c>
      <c r="C270">
        <v>1</v>
      </c>
      <c r="D270">
        <v>6</v>
      </c>
      <c r="E270">
        <v>6</v>
      </c>
      <c r="F270">
        <v>4</v>
      </c>
      <c r="G270">
        <v>4</v>
      </c>
      <c r="H270">
        <v>4</v>
      </c>
      <c r="I270">
        <v>6</v>
      </c>
      <c r="J270">
        <v>4</v>
      </c>
      <c r="K270">
        <v>6</v>
      </c>
      <c r="L270">
        <v>4</v>
      </c>
      <c r="M270">
        <v>8</v>
      </c>
      <c r="N270">
        <v>6</v>
      </c>
      <c r="O270">
        <v>5</v>
      </c>
      <c r="P270">
        <v>4</v>
      </c>
      <c r="Q270">
        <v>6</v>
      </c>
      <c r="R270">
        <v>6</v>
      </c>
      <c r="S270">
        <v>3</v>
      </c>
      <c r="T270">
        <v>5</v>
      </c>
      <c r="U270">
        <v>7</v>
      </c>
      <c r="V270">
        <v>94</v>
      </c>
      <c r="W270">
        <v>-2</v>
      </c>
      <c r="X270" t="s">
        <v>64</v>
      </c>
      <c r="Y270">
        <v>0</v>
      </c>
    </row>
    <row r="271" spans="1:25" x14ac:dyDescent="0.25">
      <c r="A271" t="s">
        <v>50</v>
      </c>
      <c r="B271">
        <v>25</v>
      </c>
      <c r="C271">
        <v>1</v>
      </c>
      <c r="D271">
        <v>6</v>
      </c>
      <c r="E271">
        <v>6</v>
      </c>
      <c r="F271">
        <v>4</v>
      </c>
      <c r="G271">
        <v>4</v>
      </c>
      <c r="H271">
        <v>4</v>
      </c>
      <c r="I271">
        <v>6</v>
      </c>
      <c r="J271">
        <v>4</v>
      </c>
      <c r="K271">
        <v>6</v>
      </c>
      <c r="L271">
        <v>4</v>
      </c>
      <c r="M271">
        <v>8</v>
      </c>
      <c r="N271">
        <v>6</v>
      </c>
      <c r="O271">
        <v>5</v>
      </c>
      <c r="P271">
        <v>4</v>
      </c>
      <c r="Q271">
        <v>6</v>
      </c>
      <c r="R271">
        <v>6</v>
      </c>
      <c r="S271">
        <v>3</v>
      </c>
      <c r="T271">
        <v>5</v>
      </c>
      <c r="U271">
        <v>7</v>
      </c>
      <c r="V271">
        <v>94</v>
      </c>
      <c r="W271">
        <v>-2</v>
      </c>
      <c r="X271" t="s">
        <v>67</v>
      </c>
      <c r="Y271">
        <v>7</v>
      </c>
    </row>
    <row r="272" spans="1:25" x14ac:dyDescent="0.25">
      <c r="A272" t="s">
        <v>50</v>
      </c>
      <c r="B272">
        <v>25</v>
      </c>
      <c r="C272">
        <v>1</v>
      </c>
      <c r="D272">
        <v>6</v>
      </c>
      <c r="E272">
        <v>6</v>
      </c>
      <c r="F272">
        <v>4</v>
      </c>
      <c r="G272">
        <v>4</v>
      </c>
      <c r="H272">
        <v>4</v>
      </c>
      <c r="I272">
        <v>6</v>
      </c>
      <c r="J272">
        <v>4</v>
      </c>
      <c r="K272">
        <v>6</v>
      </c>
      <c r="L272">
        <v>4</v>
      </c>
      <c r="M272">
        <v>8</v>
      </c>
      <c r="N272">
        <v>6</v>
      </c>
      <c r="O272">
        <v>5</v>
      </c>
      <c r="P272">
        <v>4</v>
      </c>
      <c r="Q272">
        <v>6</v>
      </c>
      <c r="R272">
        <v>6</v>
      </c>
      <c r="S272">
        <v>3</v>
      </c>
      <c r="T272">
        <v>5</v>
      </c>
      <c r="U272">
        <v>7</v>
      </c>
      <c r="V272">
        <v>94</v>
      </c>
      <c r="W272">
        <v>-2</v>
      </c>
      <c r="X272" t="s">
        <v>88</v>
      </c>
      <c r="Y272">
        <v>3</v>
      </c>
    </row>
    <row r="273" spans="1:25" x14ac:dyDescent="0.25">
      <c r="A273" t="s">
        <v>50</v>
      </c>
      <c r="B273">
        <v>25</v>
      </c>
      <c r="C273">
        <v>1</v>
      </c>
      <c r="D273">
        <v>6</v>
      </c>
      <c r="E273">
        <v>6</v>
      </c>
      <c r="F273">
        <v>4</v>
      </c>
      <c r="G273">
        <v>4</v>
      </c>
      <c r="H273">
        <v>4</v>
      </c>
      <c r="I273">
        <v>6</v>
      </c>
      <c r="J273">
        <v>4</v>
      </c>
      <c r="K273">
        <v>6</v>
      </c>
      <c r="L273">
        <v>4</v>
      </c>
      <c r="M273">
        <v>8</v>
      </c>
      <c r="N273">
        <v>6</v>
      </c>
      <c r="O273">
        <v>5</v>
      </c>
      <c r="P273">
        <v>4</v>
      </c>
      <c r="Q273">
        <v>6</v>
      </c>
      <c r="R273">
        <v>6</v>
      </c>
      <c r="S273">
        <v>3</v>
      </c>
      <c r="T273">
        <v>5</v>
      </c>
      <c r="U273">
        <v>7</v>
      </c>
      <c r="V273">
        <v>94</v>
      </c>
      <c r="W273">
        <v>-2</v>
      </c>
      <c r="X273" t="s">
        <v>69</v>
      </c>
      <c r="Y273">
        <v>2</v>
      </c>
    </row>
    <row r="274" spans="1:25" x14ac:dyDescent="0.25">
      <c r="A274" t="s">
        <v>50</v>
      </c>
      <c r="B274">
        <v>25</v>
      </c>
      <c r="C274">
        <v>1</v>
      </c>
      <c r="D274">
        <v>6</v>
      </c>
      <c r="E274">
        <v>6</v>
      </c>
      <c r="F274">
        <v>4</v>
      </c>
      <c r="G274">
        <v>4</v>
      </c>
      <c r="H274">
        <v>4</v>
      </c>
      <c r="I274">
        <v>6</v>
      </c>
      <c r="J274">
        <v>4</v>
      </c>
      <c r="K274">
        <v>6</v>
      </c>
      <c r="L274">
        <v>4</v>
      </c>
      <c r="M274">
        <v>8</v>
      </c>
      <c r="N274">
        <v>6</v>
      </c>
      <c r="O274">
        <v>5</v>
      </c>
      <c r="P274">
        <v>4</v>
      </c>
      <c r="Q274">
        <v>6</v>
      </c>
      <c r="R274">
        <v>6</v>
      </c>
      <c r="S274">
        <v>3</v>
      </c>
      <c r="T274">
        <v>5</v>
      </c>
      <c r="U274">
        <v>7</v>
      </c>
      <c r="V274">
        <v>94</v>
      </c>
      <c r="W274">
        <v>-2</v>
      </c>
      <c r="X274" t="s">
        <v>89</v>
      </c>
      <c r="Y274">
        <v>1</v>
      </c>
    </row>
    <row r="275" spans="1:25" x14ac:dyDescent="0.25">
      <c r="A275" t="s">
        <v>46</v>
      </c>
      <c r="B275">
        <v>18</v>
      </c>
      <c r="C275">
        <v>2</v>
      </c>
      <c r="D275">
        <v>6</v>
      </c>
      <c r="E275">
        <v>6</v>
      </c>
      <c r="F275">
        <v>5</v>
      </c>
      <c r="G275">
        <v>4</v>
      </c>
      <c r="H275">
        <v>4</v>
      </c>
      <c r="I275">
        <v>4</v>
      </c>
      <c r="J275">
        <v>4</v>
      </c>
      <c r="K275">
        <v>3</v>
      </c>
      <c r="L275">
        <v>4</v>
      </c>
      <c r="M275">
        <v>9</v>
      </c>
      <c r="N275">
        <v>5</v>
      </c>
      <c r="O275">
        <v>6</v>
      </c>
      <c r="P275">
        <v>4</v>
      </c>
      <c r="Q275">
        <v>6</v>
      </c>
      <c r="R275">
        <v>6</v>
      </c>
      <c r="S275">
        <v>6</v>
      </c>
      <c r="T275">
        <v>8</v>
      </c>
      <c r="U275">
        <v>5</v>
      </c>
      <c r="V275">
        <v>95</v>
      </c>
      <c r="W275">
        <v>6</v>
      </c>
      <c r="X275" t="s">
        <v>66</v>
      </c>
      <c r="Y275">
        <v>3</v>
      </c>
    </row>
    <row r="276" spans="1:25" x14ac:dyDescent="0.25">
      <c r="A276" t="s">
        <v>46</v>
      </c>
      <c r="B276">
        <v>18</v>
      </c>
      <c r="C276">
        <v>2</v>
      </c>
      <c r="D276">
        <v>6</v>
      </c>
      <c r="E276">
        <v>6</v>
      </c>
      <c r="F276">
        <v>5</v>
      </c>
      <c r="G276">
        <v>4</v>
      </c>
      <c r="H276">
        <v>4</v>
      </c>
      <c r="I276">
        <v>4</v>
      </c>
      <c r="J276">
        <v>4</v>
      </c>
      <c r="K276">
        <v>3</v>
      </c>
      <c r="L276">
        <v>4</v>
      </c>
      <c r="M276">
        <v>9</v>
      </c>
      <c r="N276">
        <v>5</v>
      </c>
      <c r="O276">
        <v>6</v>
      </c>
      <c r="P276">
        <v>4</v>
      </c>
      <c r="Q276">
        <v>6</v>
      </c>
      <c r="R276">
        <v>6</v>
      </c>
      <c r="S276">
        <v>6</v>
      </c>
      <c r="T276">
        <v>8</v>
      </c>
      <c r="U276">
        <v>5</v>
      </c>
      <c r="V276">
        <v>95</v>
      </c>
      <c r="W276">
        <v>6</v>
      </c>
      <c r="X276" t="s">
        <v>65</v>
      </c>
      <c r="Y276">
        <v>2</v>
      </c>
    </row>
    <row r="277" spans="1:25" x14ac:dyDescent="0.25">
      <c r="A277" t="s">
        <v>46</v>
      </c>
      <c r="B277">
        <v>18</v>
      </c>
      <c r="C277">
        <v>2</v>
      </c>
      <c r="D277">
        <v>6</v>
      </c>
      <c r="E277">
        <v>6</v>
      </c>
      <c r="F277">
        <v>5</v>
      </c>
      <c r="G277">
        <v>4</v>
      </c>
      <c r="H277">
        <v>4</v>
      </c>
      <c r="I277">
        <v>4</v>
      </c>
      <c r="J277">
        <v>4</v>
      </c>
      <c r="K277">
        <v>3</v>
      </c>
      <c r="L277">
        <v>4</v>
      </c>
      <c r="M277">
        <v>9</v>
      </c>
      <c r="N277">
        <v>5</v>
      </c>
      <c r="O277">
        <v>6</v>
      </c>
      <c r="P277">
        <v>4</v>
      </c>
      <c r="Q277">
        <v>6</v>
      </c>
      <c r="R277">
        <v>6</v>
      </c>
      <c r="S277">
        <v>6</v>
      </c>
      <c r="T277">
        <v>8</v>
      </c>
      <c r="U277">
        <v>5</v>
      </c>
      <c r="V277">
        <v>95</v>
      </c>
      <c r="W277">
        <v>6</v>
      </c>
      <c r="X277" t="s">
        <v>64</v>
      </c>
      <c r="Y277">
        <v>0</v>
      </c>
    </row>
    <row r="278" spans="1:25" x14ac:dyDescent="0.25">
      <c r="A278" t="s">
        <v>46</v>
      </c>
      <c r="B278">
        <v>18</v>
      </c>
      <c r="C278">
        <v>2</v>
      </c>
      <c r="D278">
        <v>6</v>
      </c>
      <c r="E278">
        <v>6</v>
      </c>
      <c r="F278">
        <v>5</v>
      </c>
      <c r="G278">
        <v>4</v>
      </c>
      <c r="H278">
        <v>4</v>
      </c>
      <c r="I278">
        <v>4</v>
      </c>
      <c r="J278">
        <v>4</v>
      </c>
      <c r="K278">
        <v>3</v>
      </c>
      <c r="L278">
        <v>4</v>
      </c>
      <c r="M278">
        <v>9</v>
      </c>
      <c r="N278">
        <v>5</v>
      </c>
      <c r="O278">
        <v>6</v>
      </c>
      <c r="P278">
        <v>4</v>
      </c>
      <c r="Q278">
        <v>6</v>
      </c>
      <c r="R278">
        <v>6</v>
      </c>
      <c r="S278">
        <v>6</v>
      </c>
      <c r="T278">
        <v>8</v>
      </c>
      <c r="U278">
        <v>5</v>
      </c>
      <c r="V278">
        <v>95</v>
      </c>
      <c r="W278">
        <v>6</v>
      </c>
      <c r="X278" t="s">
        <v>67</v>
      </c>
      <c r="Y278">
        <v>6</v>
      </c>
    </row>
    <row r="279" spans="1:25" x14ac:dyDescent="0.25">
      <c r="A279" t="s">
        <v>46</v>
      </c>
      <c r="B279">
        <v>18</v>
      </c>
      <c r="C279">
        <v>2</v>
      </c>
      <c r="D279">
        <v>6</v>
      </c>
      <c r="E279">
        <v>6</v>
      </c>
      <c r="F279">
        <v>5</v>
      </c>
      <c r="G279">
        <v>4</v>
      </c>
      <c r="H279">
        <v>4</v>
      </c>
      <c r="I279">
        <v>4</v>
      </c>
      <c r="J279">
        <v>4</v>
      </c>
      <c r="K279">
        <v>3</v>
      </c>
      <c r="L279">
        <v>4</v>
      </c>
      <c r="M279">
        <v>9</v>
      </c>
      <c r="N279">
        <v>5</v>
      </c>
      <c r="O279">
        <v>6</v>
      </c>
      <c r="P279">
        <v>4</v>
      </c>
      <c r="Q279">
        <v>6</v>
      </c>
      <c r="R279">
        <v>6</v>
      </c>
      <c r="S279">
        <v>6</v>
      </c>
      <c r="T279">
        <v>8</v>
      </c>
      <c r="U279">
        <v>5</v>
      </c>
      <c r="V279">
        <v>95</v>
      </c>
      <c r="W279">
        <v>6</v>
      </c>
      <c r="X279" t="s">
        <v>88</v>
      </c>
      <c r="Y279">
        <v>4</v>
      </c>
    </row>
    <row r="280" spans="1:25" x14ac:dyDescent="0.25">
      <c r="A280" t="s">
        <v>46</v>
      </c>
      <c r="B280">
        <v>18</v>
      </c>
      <c r="C280">
        <v>2</v>
      </c>
      <c r="D280">
        <v>6</v>
      </c>
      <c r="E280">
        <v>6</v>
      </c>
      <c r="F280">
        <v>5</v>
      </c>
      <c r="G280">
        <v>4</v>
      </c>
      <c r="H280">
        <v>4</v>
      </c>
      <c r="I280">
        <v>4</v>
      </c>
      <c r="J280">
        <v>4</v>
      </c>
      <c r="K280">
        <v>3</v>
      </c>
      <c r="L280">
        <v>4</v>
      </c>
      <c r="M280">
        <v>9</v>
      </c>
      <c r="N280">
        <v>5</v>
      </c>
      <c r="O280">
        <v>6</v>
      </c>
      <c r="P280">
        <v>4</v>
      </c>
      <c r="Q280">
        <v>6</v>
      </c>
      <c r="R280">
        <v>6</v>
      </c>
      <c r="S280">
        <v>6</v>
      </c>
      <c r="T280">
        <v>8</v>
      </c>
      <c r="U280">
        <v>5</v>
      </c>
      <c r="V280">
        <v>95</v>
      </c>
      <c r="W280">
        <v>6</v>
      </c>
      <c r="X280" t="s">
        <v>69</v>
      </c>
      <c r="Y280">
        <v>1</v>
      </c>
    </row>
    <row r="281" spans="1:25" x14ac:dyDescent="0.25">
      <c r="A281" t="s">
        <v>46</v>
      </c>
      <c r="B281">
        <v>18</v>
      </c>
      <c r="C281">
        <v>2</v>
      </c>
      <c r="D281">
        <v>6</v>
      </c>
      <c r="E281">
        <v>6</v>
      </c>
      <c r="F281">
        <v>5</v>
      </c>
      <c r="G281">
        <v>4</v>
      </c>
      <c r="H281">
        <v>4</v>
      </c>
      <c r="I281">
        <v>4</v>
      </c>
      <c r="J281">
        <v>4</v>
      </c>
      <c r="K281">
        <v>3</v>
      </c>
      <c r="L281">
        <v>4</v>
      </c>
      <c r="M281">
        <v>9</v>
      </c>
      <c r="N281">
        <v>5</v>
      </c>
      <c r="O281">
        <v>6</v>
      </c>
      <c r="P281">
        <v>4</v>
      </c>
      <c r="Q281">
        <v>6</v>
      </c>
      <c r="R281">
        <v>6</v>
      </c>
      <c r="S281">
        <v>6</v>
      </c>
      <c r="T281">
        <v>8</v>
      </c>
      <c r="U281">
        <v>5</v>
      </c>
      <c r="V281">
        <v>95</v>
      </c>
      <c r="W281">
        <v>6</v>
      </c>
      <c r="X281" t="s">
        <v>89</v>
      </c>
      <c r="Y281">
        <v>2</v>
      </c>
    </row>
    <row r="282" spans="1:25" x14ac:dyDescent="0.25">
      <c r="A282" t="s">
        <v>48</v>
      </c>
      <c r="B282">
        <v>20</v>
      </c>
      <c r="C282">
        <v>1</v>
      </c>
      <c r="D282">
        <v>6</v>
      </c>
      <c r="E282">
        <v>6</v>
      </c>
      <c r="F282">
        <v>4</v>
      </c>
      <c r="G282">
        <v>5</v>
      </c>
      <c r="H282">
        <v>5</v>
      </c>
      <c r="I282">
        <v>7</v>
      </c>
      <c r="J282">
        <v>5</v>
      </c>
      <c r="K282">
        <v>6</v>
      </c>
      <c r="L282">
        <v>4</v>
      </c>
      <c r="M282">
        <v>5</v>
      </c>
      <c r="N282">
        <v>4</v>
      </c>
      <c r="O282">
        <v>5</v>
      </c>
      <c r="P282">
        <v>5</v>
      </c>
      <c r="Q282">
        <v>6</v>
      </c>
      <c r="R282">
        <v>6</v>
      </c>
      <c r="S282">
        <v>3</v>
      </c>
      <c r="T282">
        <v>7</v>
      </c>
      <c r="U282">
        <v>6</v>
      </c>
      <c r="V282">
        <v>95</v>
      </c>
      <c r="W282">
        <v>4</v>
      </c>
      <c r="X282" t="s">
        <v>66</v>
      </c>
      <c r="Y282">
        <v>3</v>
      </c>
    </row>
    <row r="283" spans="1:25" x14ac:dyDescent="0.25">
      <c r="A283" t="s">
        <v>48</v>
      </c>
      <c r="B283">
        <v>20</v>
      </c>
      <c r="C283">
        <v>1</v>
      </c>
      <c r="D283">
        <v>6</v>
      </c>
      <c r="E283">
        <v>6</v>
      </c>
      <c r="F283">
        <v>4</v>
      </c>
      <c r="G283">
        <v>5</v>
      </c>
      <c r="H283">
        <v>5</v>
      </c>
      <c r="I283">
        <v>7</v>
      </c>
      <c r="J283">
        <v>5</v>
      </c>
      <c r="K283">
        <v>6</v>
      </c>
      <c r="L283">
        <v>4</v>
      </c>
      <c r="M283">
        <v>5</v>
      </c>
      <c r="N283">
        <v>4</v>
      </c>
      <c r="O283">
        <v>5</v>
      </c>
      <c r="P283">
        <v>5</v>
      </c>
      <c r="Q283">
        <v>6</v>
      </c>
      <c r="R283">
        <v>6</v>
      </c>
      <c r="S283">
        <v>3</v>
      </c>
      <c r="T283">
        <v>7</v>
      </c>
      <c r="U283">
        <v>6</v>
      </c>
      <c r="V283">
        <v>95</v>
      </c>
      <c r="W283">
        <v>4</v>
      </c>
      <c r="X283" t="s">
        <v>65</v>
      </c>
      <c r="Y283">
        <v>0</v>
      </c>
    </row>
    <row r="284" spans="1:25" x14ac:dyDescent="0.25">
      <c r="A284" t="s">
        <v>48</v>
      </c>
      <c r="B284">
        <v>20</v>
      </c>
      <c r="C284">
        <v>1</v>
      </c>
      <c r="D284">
        <v>6</v>
      </c>
      <c r="E284">
        <v>6</v>
      </c>
      <c r="F284">
        <v>4</v>
      </c>
      <c r="G284">
        <v>5</v>
      </c>
      <c r="H284">
        <v>5</v>
      </c>
      <c r="I284">
        <v>7</v>
      </c>
      <c r="J284">
        <v>5</v>
      </c>
      <c r="K284">
        <v>6</v>
      </c>
      <c r="L284">
        <v>4</v>
      </c>
      <c r="M284">
        <v>5</v>
      </c>
      <c r="N284">
        <v>4</v>
      </c>
      <c r="O284">
        <v>5</v>
      </c>
      <c r="P284">
        <v>5</v>
      </c>
      <c r="Q284">
        <v>6</v>
      </c>
      <c r="R284">
        <v>6</v>
      </c>
      <c r="S284">
        <v>3</v>
      </c>
      <c r="T284">
        <v>7</v>
      </c>
      <c r="U284">
        <v>6</v>
      </c>
      <c r="V284">
        <v>95</v>
      </c>
      <c r="W284">
        <v>4</v>
      </c>
      <c r="X284" t="s">
        <v>64</v>
      </c>
      <c r="Y284">
        <v>0</v>
      </c>
    </row>
    <row r="285" spans="1:25" x14ac:dyDescent="0.25">
      <c r="A285" t="s">
        <v>48</v>
      </c>
      <c r="B285">
        <v>20</v>
      </c>
      <c r="C285">
        <v>1</v>
      </c>
      <c r="D285">
        <v>6</v>
      </c>
      <c r="E285">
        <v>6</v>
      </c>
      <c r="F285">
        <v>4</v>
      </c>
      <c r="G285">
        <v>5</v>
      </c>
      <c r="H285">
        <v>5</v>
      </c>
      <c r="I285">
        <v>7</v>
      </c>
      <c r="J285">
        <v>5</v>
      </c>
      <c r="K285">
        <v>6</v>
      </c>
      <c r="L285">
        <v>4</v>
      </c>
      <c r="M285">
        <v>5</v>
      </c>
      <c r="N285">
        <v>4</v>
      </c>
      <c r="O285">
        <v>5</v>
      </c>
      <c r="P285">
        <v>5</v>
      </c>
      <c r="Q285">
        <v>6</v>
      </c>
      <c r="R285">
        <v>6</v>
      </c>
      <c r="S285">
        <v>3</v>
      </c>
      <c r="T285">
        <v>7</v>
      </c>
      <c r="U285">
        <v>6</v>
      </c>
      <c r="V285">
        <v>95</v>
      </c>
      <c r="W285">
        <v>4</v>
      </c>
      <c r="X285" t="s">
        <v>67</v>
      </c>
      <c r="Y285">
        <v>7</v>
      </c>
    </row>
    <row r="286" spans="1:25" x14ac:dyDescent="0.25">
      <c r="A286" t="s">
        <v>48</v>
      </c>
      <c r="B286">
        <v>20</v>
      </c>
      <c r="C286">
        <v>1</v>
      </c>
      <c r="D286">
        <v>6</v>
      </c>
      <c r="E286">
        <v>6</v>
      </c>
      <c r="F286">
        <v>4</v>
      </c>
      <c r="G286">
        <v>5</v>
      </c>
      <c r="H286">
        <v>5</v>
      </c>
      <c r="I286">
        <v>7</v>
      </c>
      <c r="J286">
        <v>5</v>
      </c>
      <c r="K286">
        <v>6</v>
      </c>
      <c r="L286">
        <v>4</v>
      </c>
      <c r="M286">
        <v>5</v>
      </c>
      <c r="N286">
        <v>4</v>
      </c>
      <c r="O286">
        <v>5</v>
      </c>
      <c r="P286">
        <v>5</v>
      </c>
      <c r="Q286">
        <v>6</v>
      </c>
      <c r="R286">
        <v>6</v>
      </c>
      <c r="S286">
        <v>3</v>
      </c>
      <c r="T286">
        <v>7</v>
      </c>
      <c r="U286">
        <v>6</v>
      </c>
      <c r="V286">
        <v>95</v>
      </c>
      <c r="W286">
        <v>4</v>
      </c>
      <c r="X286" t="s">
        <v>88</v>
      </c>
      <c r="Y286">
        <v>7</v>
      </c>
    </row>
    <row r="287" spans="1:25" x14ac:dyDescent="0.25">
      <c r="A287" t="s">
        <v>48</v>
      </c>
      <c r="B287">
        <v>20</v>
      </c>
      <c r="C287">
        <v>1</v>
      </c>
      <c r="D287">
        <v>6</v>
      </c>
      <c r="E287">
        <v>6</v>
      </c>
      <c r="F287">
        <v>4</v>
      </c>
      <c r="G287">
        <v>5</v>
      </c>
      <c r="H287">
        <v>5</v>
      </c>
      <c r="I287">
        <v>7</v>
      </c>
      <c r="J287">
        <v>5</v>
      </c>
      <c r="K287">
        <v>6</v>
      </c>
      <c r="L287">
        <v>4</v>
      </c>
      <c r="M287">
        <v>5</v>
      </c>
      <c r="N287">
        <v>4</v>
      </c>
      <c r="O287">
        <v>5</v>
      </c>
      <c r="P287">
        <v>5</v>
      </c>
      <c r="Q287">
        <v>6</v>
      </c>
      <c r="R287">
        <v>6</v>
      </c>
      <c r="S287">
        <v>3</v>
      </c>
      <c r="T287">
        <v>7</v>
      </c>
      <c r="U287">
        <v>6</v>
      </c>
      <c r="V287">
        <v>95</v>
      </c>
      <c r="W287">
        <v>4</v>
      </c>
      <c r="X287" t="s">
        <v>69</v>
      </c>
      <c r="Y287">
        <v>1</v>
      </c>
    </row>
    <row r="288" spans="1:25" x14ac:dyDescent="0.25">
      <c r="A288" t="s">
        <v>48</v>
      </c>
      <c r="B288">
        <v>20</v>
      </c>
      <c r="C288">
        <v>1</v>
      </c>
      <c r="D288">
        <v>6</v>
      </c>
      <c r="E288">
        <v>6</v>
      </c>
      <c r="F288">
        <v>4</v>
      </c>
      <c r="G288">
        <v>5</v>
      </c>
      <c r="H288">
        <v>5</v>
      </c>
      <c r="I288">
        <v>7</v>
      </c>
      <c r="J288">
        <v>5</v>
      </c>
      <c r="K288">
        <v>6</v>
      </c>
      <c r="L288">
        <v>4</v>
      </c>
      <c r="M288">
        <v>5</v>
      </c>
      <c r="N288">
        <v>4</v>
      </c>
      <c r="O288">
        <v>5</v>
      </c>
      <c r="P288">
        <v>5</v>
      </c>
      <c r="Q288">
        <v>6</v>
      </c>
      <c r="R288">
        <v>6</v>
      </c>
      <c r="S288">
        <v>3</v>
      </c>
      <c r="T288">
        <v>7</v>
      </c>
      <c r="U288">
        <v>6</v>
      </c>
      <c r="V288">
        <v>95</v>
      </c>
      <c r="W288">
        <v>4</v>
      </c>
      <c r="X288" t="s">
        <v>89</v>
      </c>
      <c r="Y288">
        <v>0</v>
      </c>
    </row>
    <row r="289" spans="1:25" x14ac:dyDescent="0.25">
      <c r="A289" t="s">
        <v>50</v>
      </c>
      <c r="B289">
        <v>25</v>
      </c>
      <c r="C289">
        <v>2</v>
      </c>
      <c r="D289">
        <v>6</v>
      </c>
      <c r="E289">
        <v>5</v>
      </c>
      <c r="F289">
        <v>4</v>
      </c>
      <c r="G289">
        <v>4</v>
      </c>
      <c r="H289">
        <v>7</v>
      </c>
      <c r="I289">
        <v>4</v>
      </c>
      <c r="J289">
        <v>5</v>
      </c>
      <c r="K289">
        <v>6</v>
      </c>
      <c r="L289">
        <v>7</v>
      </c>
      <c r="M289">
        <v>6</v>
      </c>
      <c r="N289">
        <v>6</v>
      </c>
      <c r="O289">
        <v>5</v>
      </c>
      <c r="P289">
        <v>4</v>
      </c>
      <c r="Q289">
        <v>6</v>
      </c>
      <c r="R289">
        <v>6</v>
      </c>
      <c r="S289">
        <v>3</v>
      </c>
      <c r="T289">
        <v>4</v>
      </c>
      <c r="U289">
        <v>7</v>
      </c>
      <c r="V289">
        <v>95</v>
      </c>
      <c r="W289">
        <v>-1</v>
      </c>
      <c r="X289" t="s">
        <v>66</v>
      </c>
      <c r="Y289">
        <v>4</v>
      </c>
    </row>
    <row r="290" spans="1:25" x14ac:dyDescent="0.25">
      <c r="A290" t="s">
        <v>50</v>
      </c>
      <c r="B290">
        <v>25</v>
      </c>
      <c r="C290">
        <v>2</v>
      </c>
      <c r="D290">
        <v>6</v>
      </c>
      <c r="E290">
        <v>5</v>
      </c>
      <c r="F290">
        <v>4</v>
      </c>
      <c r="G290">
        <v>4</v>
      </c>
      <c r="H290">
        <v>7</v>
      </c>
      <c r="I290">
        <v>4</v>
      </c>
      <c r="J290">
        <v>5</v>
      </c>
      <c r="K290">
        <v>6</v>
      </c>
      <c r="L290">
        <v>7</v>
      </c>
      <c r="M290">
        <v>6</v>
      </c>
      <c r="N290">
        <v>6</v>
      </c>
      <c r="O290">
        <v>5</v>
      </c>
      <c r="P290">
        <v>4</v>
      </c>
      <c r="Q290">
        <v>6</v>
      </c>
      <c r="R290">
        <v>6</v>
      </c>
      <c r="S290">
        <v>3</v>
      </c>
      <c r="T290">
        <v>4</v>
      </c>
      <c r="U290">
        <v>7</v>
      </c>
      <c r="V290">
        <v>95</v>
      </c>
      <c r="W290">
        <v>-1</v>
      </c>
      <c r="X290" t="s">
        <v>65</v>
      </c>
      <c r="Y290">
        <v>1</v>
      </c>
    </row>
    <row r="291" spans="1:25" x14ac:dyDescent="0.25">
      <c r="A291" t="s">
        <v>50</v>
      </c>
      <c r="B291">
        <v>25</v>
      </c>
      <c r="C291">
        <v>2</v>
      </c>
      <c r="D291">
        <v>6</v>
      </c>
      <c r="E291">
        <v>5</v>
      </c>
      <c r="F291">
        <v>4</v>
      </c>
      <c r="G291">
        <v>4</v>
      </c>
      <c r="H291">
        <v>7</v>
      </c>
      <c r="I291">
        <v>4</v>
      </c>
      <c r="J291">
        <v>5</v>
      </c>
      <c r="K291">
        <v>6</v>
      </c>
      <c r="L291">
        <v>7</v>
      </c>
      <c r="M291">
        <v>6</v>
      </c>
      <c r="N291">
        <v>6</v>
      </c>
      <c r="O291">
        <v>5</v>
      </c>
      <c r="P291">
        <v>4</v>
      </c>
      <c r="Q291">
        <v>6</v>
      </c>
      <c r="R291">
        <v>6</v>
      </c>
      <c r="S291">
        <v>3</v>
      </c>
      <c r="T291">
        <v>4</v>
      </c>
      <c r="U291">
        <v>7</v>
      </c>
      <c r="V291">
        <v>95</v>
      </c>
      <c r="W291">
        <v>-1</v>
      </c>
      <c r="X291" t="s">
        <v>64</v>
      </c>
      <c r="Y291">
        <v>0</v>
      </c>
    </row>
    <row r="292" spans="1:25" x14ac:dyDescent="0.25">
      <c r="A292" t="s">
        <v>50</v>
      </c>
      <c r="B292">
        <v>25</v>
      </c>
      <c r="C292">
        <v>2</v>
      </c>
      <c r="D292">
        <v>6</v>
      </c>
      <c r="E292">
        <v>5</v>
      </c>
      <c r="F292">
        <v>4</v>
      </c>
      <c r="G292">
        <v>4</v>
      </c>
      <c r="H292">
        <v>7</v>
      </c>
      <c r="I292">
        <v>4</v>
      </c>
      <c r="J292">
        <v>5</v>
      </c>
      <c r="K292">
        <v>6</v>
      </c>
      <c r="L292">
        <v>7</v>
      </c>
      <c r="M292">
        <v>6</v>
      </c>
      <c r="N292">
        <v>6</v>
      </c>
      <c r="O292">
        <v>5</v>
      </c>
      <c r="P292">
        <v>4</v>
      </c>
      <c r="Q292">
        <v>6</v>
      </c>
      <c r="R292">
        <v>6</v>
      </c>
      <c r="S292">
        <v>3</v>
      </c>
      <c r="T292">
        <v>4</v>
      </c>
      <c r="U292">
        <v>7</v>
      </c>
      <c r="V292">
        <v>95</v>
      </c>
      <c r="W292">
        <v>-1</v>
      </c>
      <c r="X292" t="s">
        <v>67</v>
      </c>
      <c r="Y292">
        <v>5</v>
      </c>
    </row>
    <row r="293" spans="1:25" x14ac:dyDescent="0.25">
      <c r="A293" t="s">
        <v>50</v>
      </c>
      <c r="B293">
        <v>25</v>
      </c>
      <c r="C293">
        <v>2</v>
      </c>
      <c r="D293">
        <v>6</v>
      </c>
      <c r="E293">
        <v>5</v>
      </c>
      <c r="F293">
        <v>4</v>
      </c>
      <c r="G293">
        <v>4</v>
      </c>
      <c r="H293">
        <v>7</v>
      </c>
      <c r="I293">
        <v>4</v>
      </c>
      <c r="J293">
        <v>5</v>
      </c>
      <c r="K293">
        <v>6</v>
      </c>
      <c r="L293">
        <v>7</v>
      </c>
      <c r="M293">
        <v>6</v>
      </c>
      <c r="N293">
        <v>6</v>
      </c>
      <c r="O293">
        <v>5</v>
      </c>
      <c r="P293">
        <v>4</v>
      </c>
      <c r="Q293">
        <v>6</v>
      </c>
      <c r="R293">
        <v>6</v>
      </c>
      <c r="S293">
        <v>3</v>
      </c>
      <c r="T293">
        <v>4</v>
      </c>
      <c r="U293">
        <v>7</v>
      </c>
      <c r="V293">
        <v>95</v>
      </c>
      <c r="W293">
        <v>-1</v>
      </c>
      <c r="X293" t="s">
        <v>88</v>
      </c>
      <c r="Y293">
        <v>4</v>
      </c>
    </row>
    <row r="294" spans="1:25" x14ac:dyDescent="0.25">
      <c r="A294" t="s">
        <v>50</v>
      </c>
      <c r="B294">
        <v>25</v>
      </c>
      <c r="C294">
        <v>2</v>
      </c>
      <c r="D294">
        <v>6</v>
      </c>
      <c r="E294">
        <v>5</v>
      </c>
      <c r="F294">
        <v>4</v>
      </c>
      <c r="G294">
        <v>4</v>
      </c>
      <c r="H294">
        <v>7</v>
      </c>
      <c r="I294">
        <v>4</v>
      </c>
      <c r="J294">
        <v>5</v>
      </c>
      <c r="K294">
        <v>6</v>
      </c>
      <c r="L294">
        <v>7</v>
      </c>
      <c r="M294">
        <v>6</v>
      </c>
      <c r="N294">
        <v>6</v>
      </c>
      <c r="O294">
        <v>5</v>
      </c>
      <c r="P294">
        <v>4</v>
      </c>
      <c r="Q294">
        <v>6</v>
      </c>
      <c r="R294">
        <v>6</v>
      </c>
      <c r="S294">
        <v>3</v>
      </c>
      <c r="T294">
        <v>4</v>
      </c>
      <c r="U294">
        <v>7</v>
      </c>
      <c r="V294">
        <v>95</v>
      </c>
      <c r="W294">
        <v>-1</v>
      </c>
      <c r="X294" t="s">
        <v>69</v>
      </c>
      <c r="Y294">
        <v>4</v>
      </c>
    </row>
    <row r="295" spans="1:25" x14ac:dyDescent="0.25">
      <c r="A295" t="s">
        <v>50</v>
      </c>
      <c r="B295">
        <v>25</v>
      </c>
      <c r="C295">
        <v>2</v>
      </c>
      <c r="D295">
        <v>6</v>
      </c>
      <c r="E295">
        <v>5</v>
      </c>
      <c r="F295">
        <v>4</v>
      </c>
      <c r="G295">
        <v>4</v>
      </c>
      <c r="H295">
        <v>7</v>
      </c>
      <c r="I295">
        <v>4</v>
      </c>
      <c r="J295">
        <v>5</v>
      </c>
      <c r="K295">
        <v>6</v>
      </c>
      <c r="L295">
        <v>7</v>
      </c>
      <c r="M295">
        <v>6</v>
      </c>
      <c r="N295">
        <v>6</v>
      </c>
      <c r="O295">
        <v>5</v>
      </c>
      <c r="P295">
        <v>4</v>
      </c>
      <c r="Q295">
        <v>6</v>
      </c>
      <c r="R295">
        <v>6</v>
      </c>
      <c r="S295">
        <v>3</v>
      </c>
      <c r="T295">
        <v>4</v>
      </c>
      <c r="U295">
        <v>7</v>
      </c>
      <c r="V295">
        <v>95</v>
      </c>
      <c r="W295">
        <v>-1</v>
      </c>
      <c r="X295" t="s">
        <v>89</v>
      </c>
      <c r="Y295">
        <v>0</v>
      </c>
    </row>
    <row r="296" spans="1:25" x14ac:dyDescent="0.25">
      <c r="A296" t="s">
        <v>30</v>
      </c>
      <c r="B296">
        <v>27</v>
      </c>
      <c r="C296">
        <v>1</v>
      </c>
      <c r="D296">
        <v>10</v>
      </c>
      <c r="E296">
        <v>5</v>
      </c>
      <c r="F296">
        <v>5</v>
      </c>
      <c r="G296">
        <v>5</v>
      </c>
      <c r="H296">
        <v>5</v>
      </c>
      <c r="I296">
        <v>4</v>
      </c>
      <c r="J296">
        <v>5</v>
      </c>
      <c r="K296">
        <v>3</v>
      </c>
      <c r="L296">
        <v>5</v>
      </c>
      <c r="M296">
        <v>4</v>
      </c>
      <c r="N296">
        <v>4</v>
      </c>
      <c r="O296">
        <v>8</v>
      </c>
      <c r="P296">
        <v>5</v>
      </c>
      <c r="Q296">
        <v>7</v>
      </c>
      <c r="R296">
        <v>5</v>
      </c>
      <c r="S296">
        <v>3</v>
      </c>
      <c r="T296">
        <v>5</v>
      </c>
      <c r="U296">
        <v>7</v>
      </c>
      <c r="V296">
        <v>95</v>
      </c>
      <c r="W296">
        <v>-3</v>
      </c>
      <c r="X296" t="s">
        <v>66</v>
      </c>
      <c r="Y296">
        <v>2</v>
      </c>
    </row>
    <row r="297" spans="1:25" x14ac:dyDescent="0.25">
      <c r="A297" t="s">
        <v>30</v>
      </c>
      <c r="B297">
        <v>27</v>
      </c>
      <c r="C297">
        <v>1</v>
      </c>
      <c r="D297">
        <v>10</v>
      </c>
      <c r="E297">
        <v>5</v>
      </c>
      <c r="F297">
        <v>5</v>
      </c>
      <c r="G297">
        <v>5</v>
      </c>
      <c r="H297">
        <v>5</v>
      </c>
      <c r="I297">
        <v>4</v>
      </c>
      <c r="J297">
        <v>5</v>
      </c>
      <c r="K297">
        <v>3</v>
      </c>
      <c r="L297">
        <v>5</v>
      </c>
      <c r="M297">
        <v>4</v>
      </c>
      <c r="N297">
        <v>4</v>
      </c>
      <c r="O297">
        <v>8</v>
      </c>
      <c r="P297">
        <v>5</v>
      </c>
      <c r="Q297">
        <v>7</v>
      </c>
      <c r="R297">
        <v>5</v>
      </c>
      <c r="S297">
        <v>3</v>
      </c>
      <c r="T297">
        <v>5</v>
      </c>
      <c r="U297">
        <v>7</v>
      </c>
      <c r="V297">
        <v>95</v>
      </c>
      <c r="W297">
        <v>-3</v>
      </c>
      <c r="X297" t="s">
        <v>65</v>
      </c>
      <c r="Y297">
        <v>2</v>
      </c>
    </row>
    <row r="298" spans="1:25" x14ac:dyDescent="0.25">
      <c r="A298" t="s">
        <v>30</v>
      </c>
      <c r="B298">
        <v>27</v>
      </c>
      <c r="C298">
        <v>1</v>
      </c>
      <c r="D298">
        <v>10</v>
      </c>
      <c r="E298">
        <v>5</v>
      </c>
      <c r="F298">
        <v>5</v>
      </c>
      <c r="G298">
        <v>5</v>
      </c>
      <c r="H298">
        <v>5</v>
      </c>
      <c r="I298">
        <v>4</v>
      </c>
      <c r="J298">
        <v>5</v>
      </c>
      <c r="K298">
        <v>3</v>
      </c>
      <c r="L298">
        <v>5</v>
      </c>
      <c r="M298">
        <v>4</v>
      </c>
      <c r="N298">
        <v>4</v>
      </c>
      <c r="O298">
        <v>8</v>
      </c>
      <c r="P298">
        <v>5</v>
      </c>
      <c r="Q298">
        <v>7</v>
      </c>
      <c r="R298">
        <v>5</v>
      </c>
      <c r="S298">
        <v>3</v>
      </c>
      <c r="T298">
        <v>5</v>
      </c>
      <c r="U298">
        <v>7</v>
      </c>
      <c r="V298">
        <v>95</v>
      </c>
      <c r="W298">
        <v>-3</v>
      </c>
      <c r="X298" t="s">
        <v>64</v>
      </c>
      <c r="Y298">
        <v>0</v>
      </c>
    </row>
    <row r="299" spans="1:25" x14ac:dyDescent="0.25">
      <c r="A299" t="s">
        <v>30</v>
      </c>
      <c r="B299">
        <v>27</v>
      </c>
      <c r="C299">
        <v>1</v>
      </c>
      <c r="D299">
        <v>10</v>
      </c>
      <c r="E299">
        <v>5</v>
      </c>
      <c r="F299">
        <v>5</v>
      </c>
      <c r="G299">
        <v>5</v>
      </c>
      <c r="H299">
        <v>5</v>
      </c>
      <c r="I299">
        <v>4</v>
      </c>
      <c r="J299">
        <v>5</v>
      </c>
      <c r="K299">
        <v>3</v>
      </c>
      <c r="L299">
        <v>5</v>
      </c>
      <c r="M299">
        <v>4</v>
      </c>
      <c r="N299">
        <v>4</v>
      </c>
      <c r="O299">
        <v>8</v>
      </c>
      <c r="P299">
        <v>5</v>
      </c>
      <c r="Q299">
        <v>7</v>
      </c>
      <c r="R299">
        <v>5</v>
      </c>
      <c r="S299">
        <v>3</v>
      </c>
      <c r="T299">
        <v>5</v>
      </c>
      <c r="U299">
        <v>7</v>
      </c>
      <c r="V299">
        <v>95</v>
      </c>
      <c r="W299">
        <v>-3</v>
      </c>
      <c r="X299" t="s">
        <v>67</v>
      </c>
      <c r="Y299">
        <v>8</v>
      </c>
    </row>
    <row r="300" spans="1:25" x14ac:dyDescent="0.25">
      <c r="A300" t="s">
        <v>30</v>
      </c>
      <c r="B300">
        <v>27</v>
      </c>
      <c r="C300">
        <v>1</v>
      </c>
      <c r="D300">
        <v>10</v>
      </c>
      <c r="E300">
        <v>5</v>
      </c>
      <c r="F300">
        <v>5</v>
      </c>
      <c r="G300">
        <v>5</v>
      </c>
      <c r="H300">
        <v>5</v>
      </c>
      <c r="I300">
        <v>4</v>
      </c>
      <c r="J300">
        <v>5</v>
      </c>
      <c r="K300">
        <v>3</v>
      </c>
      <c r="L300">
        <v>5</v>
      </c>
      <c r="M300">
        <v>4</v>
      </c>
      <c r="N300">
        <v>4</v>
      </c>
      <c r="O300">
        <v>8</v>
      </c>
      <c r="P300">
        <v>5</v>
      </c>
      <c r="Q300">
        <v>7</v>
      </c>
      <c r="R300">
        <v>5</v>
      </c>
      <c r="S300">
        <v>3</v>
      </c>
      <c r="T300">
        <v>5</v>
      </c>
      <c r="U300">
        <v>7</v>
      </c>
      <c r="V300">
        <v>95</v>
      </c>
      <c r="W300">
        <v>-3</v>
      </c>
      <c r="X300" t="s">
        <v>88</v>
      </c>
      <c r="Y300">
        <v>3</v>
      </c>
    </row>
    <row r="301" spans="1:25" x14ac:dyDescent="0.25">
      <c r="A301" t="s">
        <v>30</v>
      </c>
      <c r="B301">
        <v>27</v>
      </c>
      <c r="C301">
        <v>1</v>
      </c>
      <c r="D301">
        <v>10</v>
      </c>
      <c r="E301">
        <v>5</v>
      </c>
      <c r="F301">
        <v>5</v>
      </c>
      <c r="G301">
        <v>5</v>
      </c>
      <c r="H301">
        <v>5</v>
      </c>
      <c r="I301">
        <v>4</v>
      </c>
      <c r="J301">
        <v>5</v>
      </c>
      <c r="K301">
        <v>3</v>
      </c>
      <c r="L301">
        <v>5</v>
      </c>
      <c r="M301">
        <v>4</v>
      </c>
      <c r="N301">
        <v>4</v>
      </c>
      <c r="O301">
        <v>8</v>
      </c>
      <c r="P301">
        <v>5</v>
      </c>
      <c r="Q301">
        <v>7</v>
      </c>
      <c r="R301">
        <v>5</v>
      </c>
      <c r="S301">
        <v>3</v>
      </c>
      <c r="T301">
        <v>5</v>
      </c>
      <c r="U301">
        <v>7</v>
      </c>
      <c r="V301">
        <v>95</v>
      </c>
      <c r="W301">
        <v>-3</v>
      </c>
      <c r="X301" t="s">
        <v>69</v>
      </c>
      <c r="Y301">
        <v>1</v>
      </c>
    </row>
    <row r="302" spans="1:25" x14ac:dyDescent="0.25">
      <c r="A302" t="s">
        <v>30</v>
      </c>
      <c r="B302">
        <v>27</v>
      </c>
      <c r="C302">
        <v>1</v>
      </c>
      <c r="D302">
        <v>10</v>
      </c>
      <c r="E302">
        <v>5</v>
      </c>
      <c r="F302">
        <v>5</v>
      </c>
      <c r="G302">
        <v>5</v>
      </c>
      <c r="H302">
        <v>5</v>
      </c>
      <c r="I302">
        <v>4</v>
      </c>
      <c r="J302">
        <v>5</v>
      </c>
      <c r="K302">
        <v>3</v>
      </c>
      <c r="L302">
        <v>5</v>
      </c>
      <c r="M302">
        <v>4</v>
      </c>
      <c r="N302">
        <v>4</v>
      </c>
      <c r="O302">
        <v>8</v>
      </c>
      <c r="P302">
        <v>5</v>
      </c>
      <c r="Q302">
        <v>7</v>
      </c>
      <c r="R302">
        <v>5</v>
      </c>
      <c r="S302">
        <v>3</v>
      </c>
      <c r="T302">
        <v>5</v>
      </c>
      <c r="U302">
        <v>7</v>
      </c>
      <c r="V302">
        <v>95</v>
      </c>
      <c r="W302">
        <v>-3</v>
      </c>
      <c r="X302" t="s">
        <v>89</v>
      </c>
      <c r="Y302">
        <v>2</v>
      </c>
    </row>
    <row r="303" spans="1:25" x14ac:dyDescent="0.25">
      <c r="A303" t="s">
        <v>42</v>
      </c>
      <c r="B303">
        <v>28</v>
      </c>
      <c r="C303">
        <v>1</v>
      </c>
      <c r="D303">
        <v>6</v>
      </c>
      <c r="E303">
        <v>7</v>
      </c>
      <c r="F303">
        <v>6</v>
      </c>
      <c r="G303">
        <v>5</v>
      </c>
      <c r="H303">
        <v>5</v>
      </c>
      <c r="I303">
        <v>5</v>
      </c>
      <c r="J303">
        <v>4</v>
      </c>
      <c r="K303">
        <v>5</v>
      </c>
      <c r="L303">
        <v>6</v>
      </c>
      <c r="M303">
        <v>7</v>
      </c>
      <c r="N303">
        <v>5</v>
      </c>
      <c r="O303">
        <v>5</v>
      </c>
      <c r="P303">
        <v>4</v>
      </c>
      <c r="Q303">
        <v>6</v>
      </c>
      <c r="R303">
        <v>5</v>
      </c>
      <c r="S303">
        <v>4</v>
      </c>
      <c r="T303">
        <v>4</v>
      </c>
      <c r="U303">
        <v>6</v>
      </c>
      <c r="V303">
        <v>95</v>
      </c>
      <c r="W303">
        <v>-4</v>
      </c>
      <c r="X303" t="s">
        <v>66</v>
      </c>
      <c r="Y303">
        <v>3</v>
      </c>
    </row>
    <row r="304" spans="1:25" x14ac:dyDescent="0.25">
      <c r="A304" t="s">
        <v>42</v>
      </c>
      <c r="B304">
        <v>28</v>
      </c>
      <c r="C304">
        <v>1</v>
      </c>
      <c r="D304">
        <v>6</v>
      </c>
      <c r="E304">
        <v>7</v>
      </c>
      <c r="F304">
        <v>6</v>
      </c>
      <c r="G304">
        <v>5</v>
      </c>
      <c r="H304">
        <v>5</v>
      </c>
      <c r="I304">
        <v>5</v>
      </c>
      <c r="J304">
        <v>4</v>
      </c>
      <c r="K304">
        <v>5</v>
      </c>
      <c r="L304">
        <v>6</v>
      </c>
      <c r="M304">
        <v>7</v>
      </c>
      <c r="N304">
        <v>5</v>
      </c>
      <c r="O304">
        <v>5</v>
      </c>
      <c r="P304">
        <v>4</v>
      </c>
      <c r="Q304">
        <v>6</v>
      </c>
      <c r="R304">
        <v>5</v>
      </c>
      <c r="S304">
        <v>4</v>
      </c>
      <c r="T304">
        <v>4</v>
      </c>
      <c r="U304">
        <v>6</v>
      </c>
      <c r="V304">
        <v>95</v>
      </c>
      <c r="W304">
        <v>-4</v>
      </c>
      <c r="X304" t="s">
        <v>65</v>
      </c>
      <c r="Y304">
        <v>0</v>
      </c>
    </row>
    <row r="305" spans="1:25" x14ac:dyDescent="0.25">
      <c r="A305" t="s">
        <v>42</v>
      </c>
      <c r="B305">
        <v>28</v>
      </c>
      <c r="C305">
        <v>1</v>
      </c>
      <c r="D305">
        <v>6</v>
      </c>
      <c r="E305">
        <v>7</v>
      </c>
      <c r="F305">
        <v>6</v>
      </c>
      <c r="G305">
        <v>5</v>
      </c>
      <c r="H305">
        <v>5</v>
      </c>
      <c r="I305">
        <v>5</v>
      </c>
      <c r="J305">
        <v>4</v>
      </c>
      <c r="K305">
        <v>5</v>
      </c>
      <c r="L305">
        <v>6</v>
      </c>
      <c r="M305">
        <v>7</v>
      </c>
      <c r="N305">
        <v>5</v>
      </c>
      <c r="O305">
        <v>5</v>
      </c>
      <c r="P305">
        <v>4</v>
      </c>
      <c r="Q305">
        <v>6</v>
      </c>
      <c r="R305">
        <v>5</v>
      </c>
      <c r="S305">
        <v>4</v>
      </c>
      <c r="T305">
        <v>4</v>
      </c>
      <c r="U305">
        <v>6</v>
      </c>
      <c r="V305">
        <v>95</v>
      </c>
      <c r="W305">
        <v>-4</v>
      </c>
      <c r="X305" t="s">
        <v>64</v>
      </c>
      <c r="Y305">
        <v>0</v>
      </c>
    </row>
    <row r="306" spans="1:25" x14ac:dyDescent="0.25">
      <c r="A306" t="s">
        <v>42</v>
      </c>
      <c r="B306">
        <v>28</v>
      </c>
      <c r="C306">
        <v>1</v>
      </c>
      <c r="D306">
        <v>6</v>
      </c>
      <c r="E306">
        <v>7</v>
      </c>
      <c r="F306">
        <v>6</v>
      </c>
      <c r="G306">
        <v>5</v>
      </c>
      <c r="H306">
        <v>5</v>
      </c>
      <c r="I306">
        <v>5</v>
      </c>
      <c r="J306">
        <v>4</v>
      </c>
      <c r="K306">
        <v>5</v>
      </c>
      <c r="L306">
        <v>6</v>
      </c>
      <c r="M306">
        <v>7</v>
      </c>
      <c r="N306">
        <v>5</v>
      </c>
      <c r="O306">
        <v>5</v>
      </c>
      <c r="P306">
        <v>4</v>
      </c>
      <c r="Q306">
        <v>6</v>
      </c>
      <c r="R306">
        <v>5</v>
      </c>
      <c r="S306">
        <v>4</v>
      </c>
      <c r="T306">
        <v>4</v>
      </c>
      <c r="U306">
        <v>6</v>
      </c>
      <c r="V306">
        <v>95</v>
      </c>
      <c r="W306">
        <v>-4</v>
      </c>
      <c r="X306" t="s">
        <v>67</v>
      </c>
      <c r="Y306">
        <v>8</v>
      </c>
    </row>
    <row r="307" spans="1:25" x14ac:dyDescent="0.25">
      <c r="A307" t="s">
        <v>42</v>
      </c>
      <c r="B307">
        <v>28</v>
      </c>
      <c r="C307">
        <v>1</v>
      </c>
      <c r="D307">
        <v>6</v>
      </c>
      <c r="E307">
        <v>7</v>
      </c>
      <c r="F307">
        <v>6</v>
      </c>
      <c r="G307">
        <v>5</v>
      </c>
      <c r="H307">
        <v>5</v>
      </c>
      <c r="I307">
        <v>5</v>
      </c>
      <c r="J307">
        <v>4</v>
      </c>
      <c r="K307">
        <v>5</v>
      </c>
      <c r="L307">
        <v>6</v>
      </c>
      <c r="M307">
        <v>7</v>
      </c>
      <c r="N307">
        <v>5</v>
      </c>
      <c r="O307">
        <v>5</v>
      </c>
      <c r="P307">
        <v>4</v>
      </c>
      <c r="Q307">
        <v>6</v>
      </c>
      <c r="R307">
        <v>5</v>
      </c>
      <c r="S307">
        <v>4</v>
      </c>
      <c r="T307">
        <v>4</v>
      </c>
      <c r="U307">
        <v>6</v>
      </c>
      <c r="V307">
        <v>95</v>
      </c>
      <c r="W307">
        <v>-4</v>
      </c>
      <c r="X307" t="s">
        <v>88</v>
      </c>
      <c r="Y307">
        <v>5</v>
      </c>
    </row>
    <row r="308" spans="1:25" x14ac:dyDescent="0.25">
      <c r="A308" t="s">
        <v>42</v>
      </c>
      <c r="B308">
        <v>28</v>
      </c>
      <c r="C308">
        <v>1</v>
      </c>
      <c r="D308">
        <v>6</v>
      </c>
      <c r="E308">
        <v>7</v>
      </c>
      <c r="F308">
        <v>6</v>
      </c>
      <c r="G308">
        <v>5</v>
      </c>
      <c r="H308">
        <v>5</v>
      </c>
      <c r="I308">
        <v>5</v>
      </c>
      <c r="J308">
        <v>4</v>
      </c>
      <c r="K308">
        <v>5</v>
      </c>
      <c r="L308">
        <v>6</v>
      </c>
      <c r="M308">
        <v>7</v>
      </c>
      <c r="N308">
        <v>5</v>
      </c>
      <c r="O308">
        <v>5</v>
      </c>
      <c r="P308">
        <v>4</v>
      </c>
      <c r="Q308">
        <v>6</v>
      </c>
      <c r="R308">
        <v>5</v>
      </c>
      <c r="S308">
        <v>4</v>
      </c>
      <c r="T308">
        <v>4</v>
      </c>
      <c r="U308">
        <v>6</v>
      </c>
      <c r="V308">
        <v>95</v>
      </c>
      <c r="W308">
        <v>-4</v>
      </c>
      <c r="X308" t="s">
        <v>69</v>
      </c>
      <c r="Y308">
        <v>2</v>
      </c>
    </row>
    <row r="309" spans="1:25" x14ac:dyDescent="0.25">
      <c r="A309" t="s">
        <v>42</v>
      </c>
      <c r="B309">
        <v>28</v>
      </c>
      <c r="C309">
        <v>1</v>
      </c>
      <c r="D309">
        <v>6</v>
      </c>
      <c r="E309">
        <v>7</v>
      </c>
      <c r="F309">
        <v>6</v>
      </c>
      <c r="G309">
        <v>5</v>
      </c>
      <c r="H309">
        <v>5</v>
      </c>
      <c r="I309">
        <v>5</v>
      </c>
      <c r="J309">
        <v>4</v>
      </c>
      <c r="K309">
        <v>5</v>
      </c>
      <c r="L309">
        <v>6</v>
      </c>
      <c r="M309">
        <v>7</v>
      </c>
      <c r="N309">
        <v>5</v>
      </c>
      <c r="O309">
        <v>5</v>
      </c>
      <c r="P309">
        <v>4</v>
      </c>
      <c r="Q309">
        <v>6</v>
      </c>
      <c r="R309">
        <v>5</v>
      </c>
      <c r="S309">
        <v>4</v>
      </c>
      <c r="T309">
        <v>4</v>
      </c>
      <c r="U309">
        <v>6</v>
      </c>
      <c r="V309">
        <v>95</v>
      </c>
      <c r="W309">
        <v>-4</v>
      </c>
      <c r="X309" t="s">
        <v>89</v>
      </c>
      <c r="Y309">
        <v>0</v>
      </c>
    </row>
    <row r="310" spans="1:25" x14ac:dyDescent="0.25">
      <c r="A310" t="s">
        <v>30</v>
      </c>
      <c r="B310">
        <v>27</v>
      </c>
      <c r="C310">
        <v>2</v>
      </c>
      <c r="D310">
        <v>7</v>
      </c>
      <c r="E310">
        <v>5</v>
      </c>
      <c r="F310">
        <v>5</v>
      </c>
      <c r="G310">
        <v>5</v>
      </c>
      <c r="H310">
        <v>6</v>
      </c>
      <c r="I310">
        <v>7</v>
      </c>
      <c r="J310">
        <v>5</v>
      </c>
      <c r="K310">
        <v>6</v>
      </c>
      <c r="L310">
        <v>4</v>
      </c>
      <c r="M310">
        <v>5</v>
      </c>
      <c r="N310">
        <v>6</v>
      </c>
      <c r="O310">
        <v>4</v>
      </c>
      <c r="P310">
        <v>5</v>
      </c>
      <c r="Q310">
        <v>4</v>
      </c>
      <c r="R310">
        <v>7</v>
      </c>
      <c r="S310">
        <v>3</v>
      </c>
      <c r="T310">
        <v>6</v>
      </c>
      <c r="U310">
        <v>6</v>
      </c>
      <c r="V310">
        <v>96</v>
      </c>
      <c r="W310">
        <v>-2</v>
      </c>
      <c r="X310" t="s">
        <v>66</v>
      </c>
      <c r="Y310">
        <v>3</v>
      </c>
    </row>
    <row r="311" spans="1:25" x14ac:dyDescent="0.25">
      <c r="A311" t="s">
        <v>30</v>
      </c>
      <c r="B311">
        <v>27</v>
      </c>
      <c r="C311">
        <v>2</v>
      </c>
      <c r="D311">
        <v>7</v>
      </c>
      <c r="E311">
        <v>5</v>
      </c>
      <c r="F311">
        <v>5</v>
      </c>
      <c r="G311">
        <v>5</v>
      </c>
      <c r="H311">
        <v>6</v>
      </c>
      <c r="I311">
        <v>7</v>
      </c>
      <c r="J311">
        <v>5</v>
      </c>
      <c r="K311">
        <v>6</v>
      </c>
      <c r="L311">
        <v>4</v>
      </c>
      <c r="M311">
        <v>5</v>
      </c>
      <c r="N311">
        <v>6</v>
      </c>
      <c r="O311">
        <v>4</v>
      </c>
      <c r="P311">
        <v>5</v>
      </c>
      <c r="Q311">
        <v>4</v>
      </c>
      <c r="R311">
        <v>7</v>
      </c>
      <c r="S311">
        <v>3</v>
      </c>
      <c r="T311">
        <v>6</v>
      </c>
      <c r="U311">
        <v>6</v>
      </c>
      <c r="V311">
        <v>96</v>
      </c>
      <c r="W311">
        <v>-2</v>
      </c>
      <c r="X311" t="s">
        <v>65</v>
      </c>
      <c r="Y311">
        <v>1</v>
      </c>
    </row>
    <row r="312" spans="1:25" x14ac:dyDescent="0.25">
      <c r="A312" t="s">
        <v>30</v>
      </c>
      <c r="B312">
        <v>27</v>
      </c>
      <c r="C312">
        <v>2</v>
      </c>
      <c r="D312">
        <v>7</v>
      </c>
      <c r="E312">
        <v>5</v>
      </c>
      <c r="F312">
        <v>5</v>
      </c>
      <c r="G312">
        <v>5</v>
      </c>
      <c r="H312">
        <v>6</v>
      </c>
      <c r="I312">
        <v>7</v>
      </c>
      <c r="J312">
        <v>5</v>
      </c>
      <c r="K312">
        <v>6</v>
      </c>
      <c r="L312">
        <v>4</v>
      </c>
      <c r="M312">
        <v>5</v>
      </c>
      <c r="N312">
        <v>6</v>
      </c>
      <c r="O312">
        <v>4</v>
      </c>
      <c r="P312">
        <v>5</v>
      </c>
      <c r="Q312">
        <v>4</v>
      </c>
      <c r="R312">
        <v>7</v>
      </c>
      <c r="S312">
        <v>3</v>
      </c>
      <c r="T312">
        <v>6</v>
      </c>
      <c r="U312">
        <v>6</v>
      </c>
      <c r="V312">
        <v>96</v>
      </c>
      <c r="W312">
        <v>-2</v>
      </c>
      <c r="X312" t="s">
        <v>64</v>
      </c>
      <c r="Y312">
        <v>0</v>
      </c>
    </row>
    <row r="313" spans="1:25" x14ac:dyDescent="0.25">
      <c r="A313" t="s">
        <v>30</v>
      </c>
      <c r="B313">
        <v>27</v>
      </c>
      <c r="C313">
        <v>2</v>
      </c>
      <c r="D313">
        <v>7</v>
      </c>
      <c r="E313">
        <v>5</v>
      </c>
      <c r="F313">
        <v>5</v>
      </c>
      <c r="G313">
        <v>5</v>
      </c>
      <c r="H313">
        <v>6</v>
      </c>
      <c r="I313">
        <v>7</v>
      </c>
      <c r="J313">
        <v>5</v>
      </c>
      <c r="K313">
        <v>6</v>
      </c>
      <c r="L313">
        <v>4</v>
      </c>
      <c r="M313">
        <v>5</v>
      </c>
      <c r="N313">
        <v>6</v>
      </c>
      <c r="O313">
        <v>4</v>
      </c>
      <c r="P313">
        <v>5</v>
      </c>
      <c r="Q313">
        <v>4</v>
      </c>
      <c r="R313">
        <v>7</v>
      </c>
      <c r="S313">
        <v>3</v>
      </c>
      <c r="T313">
        <v>6</v>
      </c>
      <c r="U313">
        <v>6</v>
      </c>
      <c r="V313">
        <v>96</v>
      </c>
      <c r="W313">
        <v>-2</v>
      </c>
      <c r="X313" t="s">
        <v>67</v>
      </c>
      <c r="Y313">
        <v>4</v>
      </c>
    </row>
    <row r="314" spans="1:25" x14ac:dyDescent="0.25">
      <c r="A314" t="s">
        <v>30</v>
      </c>
      <c r="B314">
        <v>27</v>
      </c>
      <c r="C314">
        <v>2</v>
      </c>
      <c r="D314">
        <v>7</v>
      </c>
      <c r="E314">
        <v>5</v>
      </c>
      <c r="F314">
        <v>5</v>
      </c>
      <c r="G314">
        <v>5</v>
      </c>
      <c r="H314">
        <v>6</v>
      </c>
      <c r="I314">
        <v>7</v>
      </c>
      <c r="J314">
        <v>5</v>
      </c>
      <c r="K314">
        <v>6</v>
      </c>
      <c r="L314">
        <v>4</v>
      </c>
      <c r="M314">
        <v>5</v>
      </c>
      <c r="N314">
        <v>6</v>
      </c>
      <c r="O314">
        <v>4</v>
      </c>
      <c r="P314">
        <v>5</v>
      </c>
      <c r="Q314">
        <v>4</v>
      </c>
      <c r="R314">
        <v>7</v>
      </c>
      <c r="S314">
        <v>3</v>
      </c>
      <c r="T314">
        <v>6</v>
      </c>
      <c r="U314">
        <v>6</v>
      </c>
      <c r="V314">
        <v>96</v>
      </c>
      <c r="W314">
        <v>-2</v>
      </c>
      <c r="X314" t="s">
        <v>88</v>
      </c>
      <c r="Y314">
        <v>8</v>
      </c>
    </row>
    <row r="315" spans="1:25" x14ac:dyDescent="0.25">
      <c r="A315" t="s">
        <v>30</v>
      </c>
      <c r="B315">
        <v>27</v>
      </c>
      <c r="C315">
        <v>2</v>
      </c>
      <c r="D315">
        <v>7</v>
      </c>
      <c r="E315">
        <v>5</v>
      </c>
      <c r="F315">
        <v>5</v>
      </c>
      <c r="G315">
        <v>5</v>
      </c>
      <c r="H315">
        <v>6</v>
      </c>
      <c r="I315">
        <v>7</v>
      </c>
      <c r="J315">
        <v>5</v>
      </c>
      <c r="K315">
        <v>6</v>
      </c>
      <c r="L315">
        <v>4</v>
      </c>
      <c r="M315">
        <v>5</v>
      </c>
      <c r="N315">
        <v>6</v>
      </c>
      <c r="O315">
        <v>4</v>
      </c>
      <c r="P315">
        <v>5</v>
      </c>
      <c r="Q315">
        <v>4</v>
      </c>
      <c r="R315">
        <v>7</v>
      </c>
      <c r="S315">
        <v>3</v>
      </c>
      <c r="T315">
        <v>6</v>
      </c>
      <c r="U315">
        <v>6</v>
      </c>
      <c r="V315">
        <v>96</v>
      </c>
      <c r="W315">
        <v>-2</v>
      </c>
      <c r="X315" t="s">
        <v>69</v>
      </c>
      <c r="Y315">
        <v>2</v>
      </c>
    </row>
    <row r="316" spans="1:25" x14ac:dyDescent="0.25">
      <c r="A316" t="s">
        <v>30</v>
      </c>
      <c r="B316">
        <v>27</v>
      </c>
      <c r="C316">
        <v>2</v>
      </c>
      <c r="D316">
        <v>7</v>
      </c>
      <c r="E316">
        <v>5</v>
      </c>
      <c r="F316">
        <v>5</v>
      </c>
      <c r="G316">
        <v>5</v>
      </c>
      <c r="H316">
        <v>6</v>
      </c>
      <c r="I316">
        <v>7</v>
      </c>
      <c r="J316">
        <v>5</v>
      </c>
      <c r="K316">
        <v>6</v>
      </c>
      <c r="L316">
        <v>4</v>
      </c>
      <c r="M316">
        <v>5</v>
      </c>
      <c r="N316">
        <v>6</v>
      </c>
      <c r="O316">
        <v>4</v>
      </c>
      <c r="P316">
        <v>5</v>
      </c>
      <c r="Q316">
        <v>4</v>
      </c>
      <c r="R316">
        <v>7</v>
      </c>
      <c r="S316">
        <v>3</v>
      </c>
      <c r="T316">
        <v>6</v>
      </c>
      <c r="U316">
        <v>6</v>
      </c>
      <c r="V316">
        <v>96</v>
      </c>
      <c r="W316">
        <v>-2</v>
      </c>
      <c r="X316" t="s">
        <v>89</v>
      </c>
      <c r="Y316">
        <v>0</v>
      </c>
    </row>
    <row r="317" spans="1:25" x14ac:dyDescent="0.25">
      <c r="A317" t="s">
        <v>34</v>
      </c>
      <c r="B317">
        <v>12</v>
      </c>
      <c r="C317">
        <v>1</v>
      </c>
      <c r="D317">
        <v>5</v>
      </c>
      <c r="E317">
        <v>4</v>
      </c>
      <c r="F317">
        <v>6</v>
      </c>
      <c r="G317">
        <v>4</v>
      </c>
      <c r="H317">
        <v>6</v>
      </c>
      <c r="I317">
        <v>6</v>
      </c>
      <c r="J317">
        <v>4</v>
      </c>
      <c r="K317">
        <v>4</v>
      </c>
      <c r="L317">
        <v>3</v>
      </c>
      <c r="M317">
        <v>8</v>
      </c>
      <c r="N317">
        <v>5</v>
      </c>
      <c r="O317">
        <v>6</v>
      </c>
      <c r="P317">
        <v>6</v>
      </c>
      <c r="Q317">
        <v>10</v>
      </c>
      <c r="R317">
        <v>5</v>
      </c>
      <c r="S317">
        <v>2</v>
      </c>
      <c r="T317">
        <v>5</v>
      </c>
      <c r="U317">
        <v>8</v>
      </c>
      <c r="V317">
        <v>97</v>
      </c>
      <c r="W317">
        <v>14</v>
      </c>
      <c r="X317" t="s">
        <v>66</v>
      </c>
      <c r="Y317">
        <v>3</v>
      </c>
    </row>
    <row r="318" spans="1:25" x14ac:dyDescent="0.25">
      <c r="A318" t="s">
        <v>34</v>
      </c>
      <c r="B318">
        <v>12</v>
      </c>
      <c r="C318">
        <v>1</v>
      </c>
      <c r="D318">
        <v>5</v>
      </c>
      <c r="E318">
        <v>4</v>
      </c>
      <c r="F318">
        <v>6</v>
      </c>
      <c r="G318">
        <v>4</v>
      </c>
      <c r="H318">
        <v>6</v>
      </c>
      <c r="I318">
        <v>6</v>
      </c>
      <c r="J318">
        <v>4</v>
      </c>
      <c r="K318">
        <v>4</v>
      </c>
      <c r="L318">
        <v>3</v>
      </c>
      <c r="M318">
        <v>8</v>
      </c>
      <c r="N318">
        <v>5</v>
      </c>
      <c r="O318">
        <v>6</v>
      </c>
      <c r="P318">
        <v>6</v>
      </c>
      <c r="Q318">
        <v>10</v>
      </c>
      <c r="R318">
        <v>5</v>
      </c>
      <c r="S318">
        <v>2</v>
      </c>
      <c r="T318">
        <v>5</v>
      </c>
      <c r="U318">
        <v>8</v>
      </c>
      <c r="V318">
        <v>97</v>
      </c>
      <c r="W318">
        <v>14</v>
      </c>
      <c r="X318" t="s">
        <v>65</v>
      </c>
      <c r="Y318">
        <v>2</v>
      </c>
    </row>
    <row r="319" spans="1:25" x14ac:dyDescent="0.25">
      <c r="A319" t="s">
        <v>34</v>
      </c>
      <c r="B319">
        <v>12</v>
      </c>
      <c r="C319">
        <v>1</v>
      </c>
      <c r="D319">
        <v>5</v>
      </c>
      <c r="E319">
        <v>4</v>
      </c>
      <c r="F319">
        <v>6</v>
      </c>
      <c r="G319">
        <v>4</v>
      </c>
      <c r="H319">
        <v>6</v>
      </c>
      <c r="I319">
        <v>6</v>
      </c>
      <c r="J319">
        <v>4</v>
      </c>
      <c r="K319">
        <v>4</v>
      </c>
      <c r="L319">
        <v>3</v>
      </c>
      <c r="M319">
        <v>8</v>
      </c>
      <c r="N319">
        <v>5</v>
      </c>
      <c r="O319">
        <v>6</v>
      </c>
      <c r="P319">
        <v>6</v>
      </c>
      <c r="Q319">
        <v>10</v>
      </c>
      <c r="R319">
        <v>5</v>
      </c>
      <c r="S319">
        <v>2</v>
      </c>
      <c r="T319">
        <v>5</v>
      </c>
      <c r="U319">
        <v>8</v>
      </c>
      <c r="V319">
        <v>97</v>
      </c>
      <c r="W319">
        <v>14</v>
      </c>
      <c r="X319" t="s">
        <v>64</v>
      </c>
      <c r="Y319">
        <v>0</v>
      </c>
    </row>
    <row r="320" spans="1:25" x14ac:dyDescent="0.25">
      <c r="A320" t="s">
        <v>34</v>
      </c>
      <c r="B320">
        <v>12</v>
      </c>
      <c r="C320">
        <v>1</v>
      </c>
      <c r="D320">
        <v>5</v>
      </c>
      <c r="E320">
        <v>4</v>
      </c>
      <c r="F320">
        <v>6</v>
      </c>
      <c r="G320">
        <v>4</v>
      </c>
      <c r="H320">
        <v>6</v>
      </c>
      <c r="I320">
        <v>6</v>
      </c>
      <c r="J320">
        <v>4</v>
      </c>
      <c r="K320">
        <v>4</v>
      </c>
      <c r="L320">
        <v>3</v>
      </c>
      <c r="M320">
        <v>8</v>
      </c>
      <c r="N320">
        <v>5</v>
      </c>
      <c r="O320">
        <v>6</v>
      </c>
      <c r="P320">
        <v>6</v>
      </c>
      <c r="Q320">
        <v>10</v>
      </c>
      <c r="R320">
        <v>5</v>
      </c>
      <c r="S320">
        <v>2</v>
      </c>
      <c r="T320">
        <v>5</v>
      </c>
      <c r="U320">
        <v>8</v>
      </c>
      <c r="V320">
        <v>97</v>
      </c>
      <c r="W320">
        <v>14</v>
      </c>
      <c r="X320" t="s">
        <v>67</v>
      </c>
      <c r="Y320">
        <v>5</v>
      </c>
    </row>
    <row r="321" spans="1:25" x14ac:dyDescent="0.25">
      <c r="A321" t="s">
        <v>34</v>
      </c>
      <c r="B321">
        <v>12</v>
      </c>
      <c r="C321">
        <v>1</v>
      </c>
      <c r="D321">
        <v>5</v>
      </c>
      <c r="E321">
        <v>4</v>
      </c>
      <c r="F321">
        <v>6</v>
      </c>
      <c r="G321">
        <v>4</v>
      </c>
      <c r="H321">
        <v>6</v>
      </c>
      <c r="I321">
        <v>6</v>
      </c>
      <c r="J321">
        <v>4</v>
      </c>
      <c r="K321">
        <v>4</v>
      </c>
      <c r="L321">
        <v>3</v>
      </c>
      <c r="M321">
        <v>8</v>
      </c>
      <c r="N321">
        <v>5</v>
      </c>
      <c r="O321">
        <v>6</v>
      </c>
      <c r="P321">
        <v>6</v>
      </c>
      <c r="Q321">
        <v>10</v>
      </c>
      <c r="R321">
        <v>5</v>
      </c>
      <c r="S321">
        <v>2</v>
      </c>
      <c r="T321">
        <v>5</v>
      </c>
      <c r="U321">
        <v>8</v>
      </c>
      <c r="V321">
        <v>97</v>
      </c>
      <c r="W321">
        <v>14</v>
      </c>
      <c r="X321" t="s">
        <v>88</v>
      </c>
      <c r="Y321">
        <v>5</v>
      </c>
    </row>
    <row r="322" spans="1:25" x14ac:dyDescent="0.25">
      <c r="A322" t="s">
        <v>34</v>
      </c>
      <c r="B322">
        <v>12</v>
      </c>
      <c r="C322">
        <v>1</v>
      </c>
      <c r="D322">
        <v>5</v>
      </c>
      <c r="E322">
        <v>4</v>
      </c>
      <c r="F322">
        <v>6</v>
      </c>
      <c r="G322">
        <v>4</v>
      </c>
      <c r="H322">
        <v>6</v>
      </c>
      <c r="I322">
        <v>6</v>
      </c>
      <c r="J322">
        <v>4</v>
      </c>
      <c r="K322">
        <v>4</v>
      </c>
      <c r="L322">
        <v>3</v>
      </c>
      <c r="M322">
        <v>8</v>
      </c>
      <c r="N322">
        <v>5</v>
      </c>
      <c r="O322">
        <v>6</v>
      </c>
      <c r="P322">
        <v>6</v>
      </c>
      <c r="Q322">
        <v>10</v>
      </c>
      <c r="R322">
        <v>5</v>
      </c>
      <c r="S322">
        <v>2</v>
      </c>
      <c r="T322">
        <v>5</v>
      </c>
      <c r="U322">
        <v>8</v>
      </c>
      <c r="V322">
        <v>97</v>
      </c>
      <c r="W322">
        <v>14</v>
      </c>
      <c r="X322" t="s">
        <v>69</v>
      </c>
      <c r="Y322">
        <v>0</v>
      </c>
    </row>
    <row r="323" spans="1:25" x14ac:dyDescent="0.25">
      <c r="A323" t="s">
        <v>34</v>
      </c>
      <c r="B323">
        <v>12</v>
      </c>
      <c r="C323">
        <v>1</v>
      </c>
      <c r="D323">
        <v>5</v>
      </c>
      <c r="E323">
        <v>4</v>
      </c>
      <c r="F323">
        <v>6</v>
      </c>
      <c r="G323">
        <v>4</v>
      </c>
      <c r="H323">
        <v>6</v>
      </c>
      <c r="I323">
        <v>6</v>
      </c>
      <c r="J323">
        <v>4</v>
      </c>
      <c r="K323">
        <v>4</v>
      </c>
      <c r="L323">
        <v>3</v>
      </c>
      <c r="M323">
        <v>8</v>
      </c>
      <c r="N323">
        <v>5</v>
      </c>
      <c r="O323">
        <v>6</v>
      </c>
      <c r="P323">
        <v>6</v>
      </c>
      <c r="Q323">
        <v>10</v>
      </c>
      <c r="R323">
        <v>5</v>
      </c>
      <c r="S323">
        <v>2</v>
      </c>
      <c r="T323">
        <v>5</v>
      </c>
      <c r="U323">
        <v>8</v>
      </c>
      <c r="V323">
        <v>97</v>
      </c>
      <c r="W323">
        <v>14</v>
      </c>
      <c r="X323" t="s">
        <v>89</v>
      </c>
      <c r="Y323">
        <v>3</v>
      </c>
    </row>
    <row r="324" spans="1:25" x14ac:dyDescent="0.25">
      <c r="A324" t="s">
        <v>43</v>
      </c>
      <c r="B324">
        <v>23</v>
      </c>
      <c r="C324">
        <v>2</v>
      </c>
      <c r="D324">
        <v>6</v>
      </c>
      <c r="E324">
        <v>5</v>
      </c>
      <c r="F324">
        <v>5</v>
      </c>
      <c r="G324">
        <v>5</v>
      </c>
      <c r="H324">
        <v>7</v>
      </c>
      <c r="I324">
        <v>4</v>
      </c>
      <c r="J324">
        <v>4</v>
      </c>
      <c r="K324">
        <v>4</v>
      </c>
      <c r="L324">
        <v>8</v>
      </c>
      <c r="M324">
        <v>10</v>
      </c>
      <c r="N324">
        <v>4</v>
      </c>
      <c r="O324">
        <v>4</v>
      </c>
      <c r="P324">
        <v>5</v>
      </c>
      <c r="Q324">
        <v>7</v>
      </c>
      <c r="R324">
        <v>5</v>
      </c>
      <c r="S324">
        <v>3</v>
      </c>
      <c r="T324">
        <v>5</v>
      </c>
      <c r="U324">
        <v>6</v>
      </c>
      <c r="V324">
        <v>97</v>
      </c>
      <c r="W324">
        <v>3</v>
      </c>
      <c r="X324" t="s">
        <v>66</v>
      </c>
      <c r="Y324">
        <v>3</v>
      </c>
    </row>
    <row r="325" spans="1:25" x14ac:dyDescent="0.25">
      <c r="A325" t="s">
        <v>43</v>
      </c>
      <c r="B325">
        <v>23</v>
      </c>
      <c r="C325">
        <v>2</v>
      </c>
      <c r="D325">
        <v>6</v>
      </c>
      <c r="E325">
        <v>5</v>
      </c>
      <c r="F325">
        <v>5</v>
      </c>
      <c r="G325">
        <v>5</v>
      </c>
      <c r="H325">
        <v>7</v>
      </c>
      <c r="I325">
        <v>4</v>
      </c>
      <c r="J325">
        <v>4</v>
      </c>
      <c r="K325">
        <v>4</v>
      </c>
      <c r="L325">
        <v>8</v>
      </c>
      <c r="M325">
        <v>10</v>
      </c>
      <c r="N325">
        <v>4</v>
      </c>
      <c r="O325">
        <v>4</v>
      </c>
      <c r="P325">
        <v>5</v>
      </c>
      <c r="Q325">
        <v>7</v>
      </c>
      <c r="R325">
        <v>5</v>
      </c>
      <c r="S325">
        <v>3</v>
      </c>
      <c r="T325">
        <v>5</v>
      </c>
      <c r="U325">
        <v>6</v>
      </c>
      <c r="V325">
        <v>97</v>
      </c>
      <c r="W325">
        <v>3</v>
      </c>
      <c r="X325" t="s">
        <v>65</v>
      </c>
      <c r="Y325">
        <v>1</v>
      </c>
    </row>
    <row r="326" spans="1:25" x14ac:dyDescent="0.25">
      <c r="A326" t="s">
        <v>43</v>
      </c>
      <c r="B326">
        <v>23</v>
      </c>
      <c r="C326">
        <v>2</v>
      </c>
      <c r="D326">
        <v>6</v>
      </c>
      <c r="E326">
        <v>5</v>
      </c>
      <c r="F326">
        <v>5</v>
      </c>
      <c r="G326">
        <v>5</v>
      </c>
      <c r="H326">
        <v>7</v>
      </c>
      <c r="I326">
        <v>4</v>
      </c>
      <c r="J326">
        <v>4</v>
      </c>
      <c r="K326">
        <v>4</v>
      </c>
      <c r="L326">
        <v>8</v>
      </c>
      <c r="M326">
        <v>10</v>
      </c>
      <c r="N326">
        <v>4</v>
      </c>
      <c r="O326">
        <v>4</v>
      </c>
      <c r="P326">
        <v>5</v>
      </c>
      <c r="Q326">
        <v>7</v>
      </c>
      <c r="R326">
        <v>5</v>
      </c>
      <c r="S326">
        <v>3</v>
      </c>
      <c r="T326">
        <v>5</v>
      </c>
      <c r="U326">
        <v>6</v>
      </c>
      <c r="V326">
        <v>97</v>
      </c>
      <c r="W326">
        <v>3</v>
      </c>
      <c r="X326" t="s">
        <v>64</v>
      </c>
      <c r="Y326">
        <v>0</v>
      </c>
    </row>
    <row r="327" spans="1:25" x14ac:dyDescent="0.25">
      <c r="A327" t="s">
        <v>43</v>
      </c>
      <c r="B327">
        <v>23</v>
      </c>
      <c r="C327">
        <v>2</v>
      </c>
      <c r="D327">
        <v>6</v>
      </c>
      <c r="E327">
        <v>5</v>
      </c>
      <c r="F327">
        <v>5</v>
      </c>
      <c r="G327">
        <v>5</v>
      </c>
      <c r="H327">
        <v>7</v>
      </c>
      <c r="I327">
        <v>4</v>
      </c>
      <c r="J327">
        <v>4</v>
      </c>
      <c r="K327">
        <v>4</v>
      </c>
      <c r="L327">
        <v>8</v>
      </c>
      <c r="M327">
        <v>10</v>
      </c>
      <c r="N327">
        <v>4</v>
      </c>
      <c r="O327">
        <v>4</v>
      </c>
      <c r="P327">
        <v>5</v>
      </c>
      <c r="Q327">
        <v>7</v>
      </c>
      <c r="R327">
        <v>5</v>
      </c>
      <c r="S327">
        <v>3</v>
      </c>
      <c r="T327">
        <v>5</v>
      </c>
      <c r="U327">
        <v>6</v>
      </c>
      <c r="V327">
        <v>97</v>
      </c>
      <c r="W327">
        <v>3</v>
      </c>
      <c r="X327" t="s">
        <v>67</v>
      </c>
      <c r="Y327">
        <v>8</v>
      </c>
    </row>
    <row r="328" spans="1:25" x14ac:dyDescent="0.25">
      <c r="A328" t="s">
        <v>43</v>
      </c>
      <c r="B328">
        <v>23</v>
      </c>
      <c r="C328">
        <v>2</v>
      </c>
      <c r="D328">
        <v>6</v>
      </c>
      <c r="E328">
        <v>5</v>
      </c>
      <c r="F328">
        <v>5</v>
      </c>
      <c r="G328">
        <v>5</v>
      </c>
      <c r="H328">
        <v>7</v>
      </c>
      <c r="I328">
        <v>4</v>
      </c>
      <c r="J328">
        <v>4</v>
      </c>
      <c r="K328">
        <v>4</v>
      </c>
      <c r="L328">
        <v>8</v>
      </c>
      <c r="M328">
        <v>10</v>
      </c>
      <c r="N328">
        <v>4</v>
      </c>
      <c r="O328">
        <v>4</v>
      </c>
      <c r="P328">
        <v>5</v>
      </c>
      <c r="Q328">
        <v>7</v>
      </c>
      <c r="R328">
        <v>5</v>
      </c>
      <c r="S328">
        <v>3</v>
      </c>
      <c r="T328">
        <v>5</v>
      </c>
      <c r="U328">
        <v>6</v>
      </c>
      <c r="V328">
        <v>97</v>
      </c>
      <c r="W328">
        <v>3</v>
      </c>
      <c r="X328" t="s">
        <v>88</v>
      </c>
      <c r="Y328">
        <v>3</v>
      </c>
    </row>
    <row r="329" spans="1:25" x14ac:dyDescent="0.25">
      <c r="A329" t="s">
        <v>43</v>
      </c>
      <c r="B329">
        <v>23</v>
      </c>
      <c r="C329">
        <v>2</v>
      </c>
      <c r="D329">
        <v>6</v>
      </c>
      <c r="E329">
        <v>5</v>
      </c>
      <c r="F329">
        <v>5</v>
      </c>
      <c r="G329">
        <v>5</v>
      </c>
      <c r="H329">
        <v>7</v>
      </c>
      <c r="I329">
        <v>4</v>
      </c>
      <c r="J329">
        <v>4</v>
      </c>
      <c r="K329">
        <v>4</v>
      </c>
      <c r="L329">
        <v>8</v>
      </c>
      <c r="M329">
        <v>10</v>
      </c>
      <c r="N329">
        <v>4</v>
      </c>
      <c r="O329">
        <v>4</v>
      </c>
      <c r="P329">
        <v>5</v>
      </c>
      <c r="Q329">
        <v>7</v>
      </c>
      <c r="R329">
        <v>5</v>
      </c>
      <c r="S329">
        <v>3</v>
      </c>
      <c r="T329">
        <v>5</v>
      </c>
      <c r="U329">
        <v>6</v>
      </c>
      <c r="V329">
        <v>97</v>
      </c>
      <c r="W329">
        <v>3</v>
      </c>
      <c r="X329" t="s">
        <v>69</v>
      </c>
      <c r="Y329">
        <v>1</v>
      </c>
    </row>
    <row r="330" spans="1:25" x14ac:dyDescent="0.25">
      <c r="A330" t="s">
        <v>43</v>
      </c>
      <c r="B330">
        <v>23</v>
      </c>
      <c r="C330">
        <v>2</v>
      </c>
      <c r="D330">
        <v>6</v>
      </c>
      <c r="E330">
        <v>5</v>
      </c>
      <c r="F330">
        <v>5</v>
      </c>
      <c r="G330">
        <v>5</v>
      </c>
      <c r="H330">
        <v>7</v>
      </c>
      <c r="I330">
        <v>4</v>
      </c>
      <c r="J330">
        <v>4</v>
      </c>
      <c r="K330">
        <v>4</v>
      </c>
      <c r="L330">
        <v>8</v>
      </c>
      <c r="M330">
        <v>10</v>
      </c>
      <c r="N330">
        <v>4</v>
      </c>
      <c r="O330">
        <v>4</v>
      </c>
      <c r="P330">
        <v>5</v>
      </c>
      <c r="Q330">
        <v>7</v>
      </c>
      <c r="R330">
        <v>5</v>
      </c>
      <c r="S330">
        <v>3</v>
      </c>
      <c r="T330">
        <v>5</v>
      </c>
      <c r="U330">
        <v>6</v>
      </c>
      <c r="V330">
        <v>97</v>
      </c>
      <c r="W330">
        <v>3</v>
      </c>
      <c r="X330" t="s">
        <v>89</v>
      </c>
      <c r="Y330">
        <v>2</v>
      </c>
    </row>
    <row r="331" spans="1:25" x14ac:dyDescent="0.25">
      <c r="A331" t="s">
        <v>44</v>
      </c>
      <c r="B331">
        <v>30</v>
      </c>
      <c r="C331">
        <v>1</v>
      </c>
      <c r="D331">
        <v>9</v>
      </c>
      <c r="E331">
        <v>6</v>
      </c>
      <c r="F331">
        <v>5</v>
      </c>
      <c r="G331">
        <v>3</v>
      </c>
      <c r="H331">
        <v>5</v>
      </c>
      <c r="I331">
        <v>6</v>
      </c>
      <c r="J331">
        <v>4</v>
      </c>
      <c r="K331">
        <v>6</v>
      </c>
      <c r="L331">
        <v>6</v>
      </c>
      <c r="M331">
        <v>5</v>
      </c>
      <c r="N331">
        <v>4</v>
      </c>
      <c r="O331">
        <v>6</v>
      </c>
      <c r="P331">
        <v>4</v>
      </c>
      <c r="Q331">
        <v>5</v>
      </c>
      <c r="R331">
        <v>8</v>
      </c>
      <c r="S331">
        <v>3</v>
      </c>
      <c r="T331">
        <v>6</v>
      </c>
      <c r="U331">
        <v>6</v>
      </c>
      <c r="V331">
        <v>97</v>
      </c>
      <c r="W331">
        <v>-4</v>
      </c>
      <c r="X331" t="s">
        <v>66</v>
      </c>
      <c r="Y331">
        <v>4</v>
      </c>
    </row>
    <row r="332" spans="1:25" x14ac:dyDescent="0.25">
      <c r="A332" t="s">
        <v>44</v>
      </c>
      <c r="B332">
        <v>30</v>
      </c>
      <c r="C332">
        <v>1</v>
      </c>
      <c r="D332">
        <v>9</v>
      </c>
      <c r="E332">
        <v>6</v>
      </c>
      <c r="F332">
        <v>5</v>
      </c>
      <c r="G332">
        <v>3</v>
      </c>
      <c r="H332">
        <v>5</v>
      </c>
      <c r="I332">
        <v>6</v>
      </c>
      <c r="J332">
        <v>4</v>
      </c>
      <c r="K332">
        <v>6</v>
      </c>
      <c r="L332">
        <v>6</v>
      </c>
      <c r="M332">
        <v>5</v>
      </c>
      <c r="N332">
        <v>4</v>
      </c>
      <c r="O332">
        <v>6</v>
      </c>
      <c r="P332">
        <v>4</v>
      </c>
      <c r="Q332">
        <v>5</v>
      </c>
      <c r="R332">
        <v>8</v>
      </c>
      <c r="S332">
        <v>3</v>
      </c>
      <c r="T332">
        <v>6</v>
      </c>
      <c r="U332">
        <v>6</v>
      </c>
      <c r="V332">
        <v>97</v>
      </c>
      <c r="W332">
        <v>-4</v>
      </c>
      <c r="X332" t="s">
        <v>65</v>
      </c>
      <c r="Y332">
        <v>0</v>
      </c>
    </row>
    <row r="333" spans="1:25" x14ac:dyDescent="0.25">
      <c r="A333" t="s">
        <v>44</v>
      </c>
      <c r="B333">
        <v>30</v>
      </c>
      <c r="C333">
        <v>1</v>
      </c>
      <c r="D333">
        <v>9</v>
      </c>
      <c r="E333">
        <v>6</v>
      </c>
      <c r="F333">
        <v>5</v>
      </c>
      <c r="G333">
        <v>3</v>
      </c>
      <c r="H333">
        <v>5</v>
      </c>
      <c r="I333">
        <v>6</v>
      </c>
      <c r="J333">
        <v>4</v>
      </c>
      <c r="K333">
        <v>6</v>
      </c>
      <c r="L333">
        <v>6</v>
      </c>
      <c r="M333">
        <v>5</v>
      </c>
      <c r="N333">
        <v>4</v>
      </c>
      <c r="O333">
        <v>6</v>
      </c>
      <c r="P333">
        <v>4</v>
      </c>
      <c r="Q333">
        <v>5</v>
      </c>
      <c r="R333">
        <v>8</v>
      </c>
      <c r="S333">
        <v>3</v>
      </c>
      <c r="T333">
        <v>6</v>
      </c>
      <c r="U333">
        <v>6</v>
      </c>
      <c r="V333">
        <v>97</v>
      </c>
      <c r="W333">
        <v>-4</v>
      </c>
      <c r="X333" t="s">
        <v>64</v>
      </c>
      <c r="Y333">
        <v>0</v>
      </c>
    </row>
    <row r="334" spans="1:25" x14ac:dyDescent="0.25">
      <c r="A334" t="s">
        <v>44</v>
      </c>
      <c r="B334">
        <v>30</v>
      </c>
      <c r="C334">
        <v>1</v>
      </c>
      <c r="D334">
        <v>9</v>
      </c>
      <c r="E334">
        <v>6</v>
      </c>
      <c r="F334">
        <v>5</v>
      </c>
      <c r="G334">
        <v>3</v>
      </c>
      <c r="H334">
        <v>5</v>
      </c>
      <c r="I334">
        <v>6</v>
      </c>
      <c r="J334">
        <v>4</v>
      </c>
      <c r="K334">
        <v>6</v>
      </c>
      <c r="L334">
        <v>6</v>
      </c>
      <c r="M334">
        <v>5</v>
      </c>
      <c r="N334">
        <v>4</v>
      </c>
      <c r="O334">
        <v>6</v>
      </c>
      <c r="P334">
        <v>4</v>
      </c>
      <c r="Q334">
        <v>5</v>
      </c>
      <c r="R334">
        <v>8</v>
      </c>
      <c r="S334">
        <v>3</v>
      </c>
      <c r="T334">
        <v>6</v>
      </c>
      <c r="U334">
        <v>6</v>
      </c>
      <c r="V334">
        <v>97</v>
      </c>
      <c r="W334">
        <v>-4</v>
      </c>
      <c r="X334" t="s">
        <v>67</v>
      </c>
      <c r="Y334">
        <v>6</v>
      </c>
    </row>
    <row r="335" spans="1:25" x14ac:dyDescent="0.25">
      <c r="A335" t="s">
        <v>44</v>
      </c>
      <c r="B335">
        <v>30</v>
      </c>
      <c r="C335">
        <v>1</v>
      </c>
      <c r="D335">
        <v>9</v>
      </c>
      <c r="E335">
        <v>6</v>
      </c>
      <c r="F335">
        <v>5</v>
      </c>
      <c r="G335">
        <v>3</v>
      </c>
      <c r="H335">
        <v>5</v>
      </c>
      <c r="I335">
        <v>6</v>
      </c>
      <c r="J335">
        <v>4</v>
      </c>
      <c r="K335">
        <v>6</v>
      </c>
      <c r="L335">
        <v>6</v>
      </c>
      <c r="M335">
        <v>5</v>
      </c>
      <c r="N335">
        <v>4</v>
      </c>
      <c r="O335">
        <v>6</v>
      </c>
      <c r="P335">
        <v>4</v>
      </c>
      <c r="Q335">
        <v>5</v>
      </c>
      <c r="R335">
        <v>8</v>
      </c>
      <c r="S335">
        <v>3</v>
      </c>
      <c r="T335">
        <v>6</v>
      </c>
      <c r="U335">
        <v>6</v>
      </c>
      <c r="V335">
        <v>97</v>
      </c>
      <c r="W335">
        <v>-4</v>
      </c>
      <c r="X335" t="s">
        <v>88</v>
      </c>
      <c r="Y335">
        <v>6</v>
      </c>
    </row>
    <row r="336" spans="1:25" x14ac:dyDescent="0.25">
      <c r="A336" t="s">
        <v>44</v>
      </c>
      <c r="B336">
        <v>30</v>
      </c>
      <c r="C336">
        <v>1</v>
      </c>
      <c r="D336">
        <v>9</v>
      </c>
      <c r="E336">
        <v>6</v>
      </c>
      <c r="F336">
        <v>5</v>
      </c>
      <c r="G336">
        <v>3</v>
      </c>
      <c r="H336">
        <v>5</v>
      </c>
      <c r="I336">
        <v>6</v>
      </c>
      <c r="J336">
        <v>4</v>
      </c>
      <c r="K336">
        <v>6</v>
      </c>
      <c r="L336">
        <v>6</v>
      </c>
      <c r="M336">
        <v>5</v>
      </c>
      <c r="N336">
        <v>4</v>
      </c>
      <c r="O336">
        <v>6</v>
      </c>
      <c r="P336">
        <v>4</v>
      </c>
      <c r="Q336">
        <v>5</v>
      </c>
      <c r="R336">
        <v>8</v>
      </c>
      <c r="S336">
        <v>3</v>
      </c>
      <c r="T336">
        <v>6</v>
      </c>
      <c r="U336">
        <v>6</v>
      </c>
      <c r="V336">
        <v>97</v>
      </c>
      <c r="W336">
        <v>-4</v>
      </c>
      <c r="X336" t="s">
        <v>69</v>
      </c>
      <c r="Y336">
        <v>0</v>
      </c>
    </row>
    <row r="337" spans="1:25" x14ac:dyDescent="0.25">
      <c r="A337" t="s">
        <v>44</v>
      </c>
      <c r="B337">
        <v>30</v>
      </c>
      <c r="C337">
        <v>1</v>
      </c>
      <c r="D337">
        <v>9</v>
      </c>
      <c r="E337">
        <v>6</v>
      </c>
      <c r="F337">
        <v>5</v>
      </c>
      <c r="G337">
        <v>3</v>
      </c>
      <c r="H337">
        <v>5</v>
      </c>
      <c r="I337">
        <v>6</v>
      </c>
      <c r="J337">
        <v>4</v>
      </c>
      <c r="K337">
        <v>6</v>
      </c>
      <c r="L337">
        <v>6</v>
      </c>
      <c r="M337">
        <v>5</v>
      </c>
      <c r="N337">
        <v>4</v>
      </c>
      <c r="O337">
        <v>6</v>
      </c>
      <c r="P337">
        <v>4</v>
      </c>
      <c r="Q337">
        <v>5</v>
      </c>
      <c r="R337">
        <v>8</v>
      </c>
      <c r="S337">
        <v>3</v>
      </c>
      <c r="T337">
        <v>6</v>
      </c>
      <c r="U337">
        <v>6</v>
      </c>
      <c r="V337">
        <v>97</v>
      </c>
      <c r="W337">
        <v>-4</v>
      </c>
      <c r="X337" t="s">
        <v>89</v>
      </c>
      <c r="Y337">
        <v>2</v>
      </c>
    </row>
    <row r="338" spans="1:25" x14ac:dyDescent="0.25">
      <c r="A338" t="s">
        <v>44</v>
      </c>
      <c r="B338">
        <v>30</v>
      </c>
      <c r="C338">
        <v>2</v>
      </c>
      <c r="D338">
        <v>6</v>
      </c>
      <c r="E338">
        <v>7</v>
      </c>
      <c r="F338">
        <v>6</v>
      </c>
      <c r="G338">
        <v>5</v>
      </c>
      <c r="H338">
        <v>6</v>
      </c>
      <c r="I338">
        <v>5</v>
      </c>
      <c r="J338">
        <v>4</v>
      </c>
      <c r="K338">
        <v>5</v>
      </c>
      <c r="L338">
        <v>6</v>
      </c>
      <c r="M338">
        <v>6</v>
      </c>
      <c r="N338">
        <v>4</v>
      </c>
      <c r="O338">
        <v>5</v>
      </c>
      <c r="P338">
        <v>5</v>
      </c>
      <c r="Q338">
        <v>7</v>
      </c>
      <c r="R338">
        <v>5</v>
      </c>
      <c r="S338">
        <v>3</v>
      </c>
      <c r="T338">
        <v>7</v>
      </c>
      <c r="U338">
        <v>6</v>
      </c>
      <c r="V338">
        <v>98</v>
      </c>
      <c r="W338">
        <v>-3</v>
      </c>
      <c r="X338" t="s">
        <v>66</v>
      </c>
      <c r="Y338">
        <v>2</v>
      </c>
    </row>
    <row r="339" spans="1:25" x14ac:dyDescent="0.25">
      <c r="A339" t="s">
        <v>44</v>
      </c>
      <c r="B339">
        <v>30</v>
      </c>
      <c r="C339">
        <v>2</v>
      </c>
      <c r="D339">
        <v>6</v>
      </c>
      <c r="E339">
        <v>7</v>
      </c>
      <c r="F339">
        <v>6</v>
      </c>
      <c r="G339">
        <v>5</v>
      </c>
      <c r="H339">
        <v>6</v>
      </c>
      <c r="I339">
        <v>5</v>
      </c>
      <c r="J339">
        <v>4</v>
      </c>
      <c r="K339">
        <v>5</v>
      </c>
      <c r="L339">
        <v>6</v>
      </c>
      <c r="M339">
        <v>6</v>
      </c>
      <c r="N339">
        <v>4</v>
      </c>
      <c r="O339">
        <v>5</v>
      </c>
      <c r="P339">
        <v>5</v>
      </c>
      <c r="Q339">
        <v>7</v>
      </c>
      <c r="R339">
        <v>5</v>
      </c>
      <c r="S339">
        <v>3</v>
      </c>
      <c r="T339">
        <v>7</v>
      </c>
      <c r="U339">
        <v>6</v>
      </c>
      <c r="V339">
        <v>98</v>
      </c>
      <c r="W339">
        <v>-3</v>
      </c>
      <c r="X339" t="s">
        <v>65</v>
      </c>
      <c r="Y339">
        <v>0</v>
      </c>
    </row>
    <row r="340" spans="1:25" x14ac:dyDescent="0.25">
      <c r="A340" t="s">
        <v>44</v>
      </c>
      <c r="B340">
        <v>30</v>
      </c>
      <c r="C340">
        <v>2</v>
      </c>
      <c r="D340">
        <v>6</v>
      </c>
      <c r="E340">
        <v>7</v>
      </c>
      <c r="F340">
        <v>6</v>
      </c>
      <c r="G340">
        <v>5</v>
      </c>
      <c r="H340">
        <v>6</v>
      </c>
      <c r="I340">
        <v>5</v>
      </c>
      <c r="J340">
        <v>4</v>
      </c>
      <c r="K340">
        <v>5</v>
      </c>
      <c r="L340">
        <v>6</v>
      </c>
      <c r="M340">
        <v>6</v>
      </c>
      <c r="N340">
        <v>4</v>
      </c>
      <c r="O340">
        <v>5</v>
      </c>
      <c r="P340">
        <v>5</v>
      </c>
      <c r="Q340">
        <v>7</v>
      </c>
      <c r="R340">
        <v>5</v>
      </c>
      <c r="S340">
        <v>3</v>
      </c>
      <c r="T340">
        <v>7</v>
      </c>
      <c r="U340">
        <v>6</v>
      </c>
      <c r="V340">
        <v>98</v>
      </c>
      <c r="W340">
        <v>-3</v>
      </c>
      <c r="X340" t="s">
        <v>64</v>
      </c>
      <c r="Y340">
        <v>0</v>
      </c>
    </row>
    <row r="341" spans="1:25" x14ac:dyDescent="0.25">
      <c r="A341" t="s">
        <v>44</v>
      </c>
      <c r="B341">
        <v>30</v>
      </c>
      <c r="C341">
        <v>2</v>
      </c>
      <c r="D341">
        <v>6</v>
      </c>
      <c r="E341">
        <v>7</v>
      </c>
      <c r="F341">
        <v>6</v>
      </c>
      <c r="G341">
        <v>5</v>
      </c>
      <c r="H341">
        <v>6</v>
      </c>
      <c r="I341">
        <v>5</v>
      </c>
      <c r="J341">
        <v>4</v>
      </c>
      <c r="K341">
        <v>5</v>
      </c>
      <c r="L341">
        <v>6</v>
      </c>
      <c r="M341">
        <v>6</v>
      </c>
      <c r="N341">
        <v>4</v>
      </c>
      <c r="O341">
        <v>5</v>
      </c>
      <c r="P341">
        <v>5</v>
      </c>
      <c r="Q341">
        <v>7</v>
      </c>
      <c r="R341">
        <v>5</v>
      </c>
      <c r="S341">
        <v>3</v>
      </c>
      <c r="T341">
        <v>7</v>
      </c>
      <c r="U341">
        <v>6</v>
      </c>
      <c r="V341">
        <v>98</v>
      </c>
      <c r="W341">
        <v>-3</v>
      </c>
      <c r="X341" t="s">
        <v>67</v>
      </c>
      <c r="Y341">
        <v>7</v>
      </c>
    </row>
    <row r="342" spans="1:25" x14ac:dyDescent="0.25">
      <c r="A342" t="s">
        <v>44</v>
      </c>
      <c r="B342">
        <v>30</v>
      </c>
      <c r="C342">
        <v>2</v>
      </c>
      <c r="D342">
        <v>6</v>
      </c>
      <c r="E342">
        <v>7</v>
      </c>
      <c r="F342">
        <v>6</v>
      </c>
      <c r="G342">
        <v>5</v>
      </c>
      <c r="H342">
        <v>6</v>
      </c>
      <c r="I342">
        <v>5</v>
      </c>
      <c r="J342">
        <v>4</v>
      </c>
      <c r="K342">
        <v>5</v>
      </c>
      <c r="L342">
        <v>6</v>
      </c>
      <c r="M342">
        <v>6</v>
      </c>
      <c r="N342">
        <v>4</v>
      </c>
      <c r="O342">
        <v>5</v>
      </c>
      <c r="P342">
        <v>5</v>
      </c>
      <c r="Q342">
        <v>7</v>
      </c>
      <c r="R342">
        <v>5</v>
      </c>
      <c r="S342">
        <v>3</v>
      </c>
      <c r="T342">
        <v>7</v>
      </c>
      <c r="U342">
        <v>6</v>
      </c>
      <c r="V342">
        <v>98</v>
      </c>
      <c r="W342">
        <v>-3</v>
      </c>
      <c r="X342" t="s">
        <v>88</v>
      </c>
      <c r="Y342">
        <v>7</v>
      </c>
    </row>
    <row r="343" spans="1:25" x14ac:dyDescent="0.25">
      <c r="A343" t="s">
        <v>44</v>
      </c>
      <c r="B343">
        <v>30</v>
      </c>
      <c r="C343">
        <v>2</v>
      </c>
      <c r="D343">
        <v>6</v>
      </c>
      <c r="E343">
        <v>7</v>
      </c>
      <c r="F343">
        <v>6</v>
      </c>
      <c r="G343">
        <v>5</v>
      </c>
      <c r="H343">
        <v>6</v>
      </c>
      <c r="I343">
        <v>5</v>
      </c>
      <c r="J343">
        <v>4</v>
      </c>
      <c r="K343">
        <v>5</v>
      </c>
      <c r="L343">
        <v>6</v>
      </c>
      <c r="M343">
        <v>6</v>
      </c>
      <c r="N343">
        <v>4</v>
      </c>
      <c r="O343">
        <v>5</v>
      </c>
      <c r="P343">
        <v>5</v>
      </c>
      <c r="Q343">
        <v>7</v>
      </c>
      <c r="R343">
        <v>5</v>
      </c>
      <c r="S343">
        <v>3</v>
      </c>
      <c r="T343">
        <v>7</v>
      </c>
      <c r="U343">
        <v>6</v>
      </c>
      <c r="V343">
        <v>98</v>
      </c>
      <c r="W343">
        <v>-3</v>
      </c>
      <c r="X343" t="s">
        <v>69</v>
      </c>
      <c r="Y343">
        <v>2</v>
      </c>
    </row>
    <row r="344" spans="1:25" x14ac:dyDescent="0.25">
      <c r="A344" t="s">
        <v>44</v>
      </c>
      <c r="B344">
        <v>30</v>
      </c>
      <c r="C344">
        <v>2</v>
      </c>
      <c r="D344">
        <v>6</v>
      </c>
      <c r="E344">
        <v>7</v>
      </c>
      <c r="F344">
        <v>6</v>
      </c>
      <c r="G344">
        <v>5</v>
      </c>
      <c r="H344">
        <v>6</v>
      </c>
      <c r="I344">
        <v>5</v>
      </c>
      <c r="J344">
        <v>4</v>
      </c>
      <c r="K344">
        <v>5</v>
      </c>
      <c r="L344">
        <v>6</v>
      </c>
      <c r="M344">
        <v>6</v>
      </c>
      <c r="N344">
        <v>4</v>
      </c>
      <c r="O344">
        <v>5</v>
      </c>
      <c r="P344">
        <v>5</v>
      </c>
      <c r="Q344">
        <v>7</v>
      </c>
      <c r="R344">
        <v>5</v>
      </c>
      <c r="S344">
        <v>3</v>
      </c>
      <c r="T344">
        <v>7</v>
      </c>
      <c r="U344">
        <v>6</v>
      </c>
      <c r="V344">
        <v>98</v>
      </c>
      <c r="W344">
        <v>-3</v>
      </c>
      <c r="X344" t="s">
        <v>89</v>
      </c>
      <c r="Y344">
        <v>0</v>
      </c>
    </row>
    <row r="345" spans="1:25" x14ac:dyDescent="0.25">
      <c r="A345" t="s">
        <v>46</v>
      </c>
      <c r="B345">
        <v>18</v>
      </c>
      <c r="C345">
        <v>1</v>
      </c>
      <c r="D345">
        <v>6</v>
      </c>
      <c r="E345">
        <v>8</v>
      </c>
      <c r="F345">
        <v>5</v>
      </c>
      <c r="G345">
        <v>5</v>
      </c>
      <c r="H345">
        <v>4</v>
      </c>
      <c r="I345">
        <v>6</v>
      </c>
      <c r="J345">
        <v>5</v>
      </c>
      <c r="K345">
        <v>5</v>
      </c>
      <c r="L345">
        <v>5</v>
      </c>
      <c r="M345">
        <v>6</v>
      </c>
      <c r="N345">
        <v>5</v>
      </c>
      <c r="O345">
        <v>5</v>
      </c>
      <c r="P345">
        <v>5</v>
      </c>
      <c r="Q345">
        <v>7</v>
      </c>
      <c r="R345">
        <v>6</v>
      </c>
      <c r="S345">
        <v>3</v>
      </c>
      <c r="T345">
        <v>6</v>
      </c>
      <c r="U345">
        <v>7</v>
      </c>
      <c r="V345">
        <v>99</v>
      </c>
      <c r="W345">
        <v>10</v>
      </c>
      <c r="X345" t="s">
        <v>66</v>
      </c>
      <c r="Y345">
        <v>2</v>
      </c>
    </row>
    <row r="346" spans="1:25" x14ac:dyDescent="0.25">
      <c r="A346" t="s">
        <v>46</v>
      </c>
      <c r="B346">
        <v>18</v>
      </c>
      <c r="C346">
        <v>1</v>
      </c>
      <c r="D346">
        <v>6</v>
      </c>
      <c r="E346">
        <v>8</v>
      </c>
      <c r="F346">
        <v>5</v>
      </c>
      <c r="G346">
        <v>5</v>
      </c>
      <c r="H346">
        <v>4</v>
      </c>
      <c r="I346">
        <v>6</v>
      </c>
      <c r="J346">
        <v>5</v>
      </c>
      <c r="K346">
        <v>5</v>
      </c>
      <c r="L346">
        <v>5</v>
      </c>
      <c r="M346">
        <v>6</v>
      </c>
      <c r="N346">
        <v>5</v>
      </c>
      <c r="O346">
        <v>5</v>
      </c>
      <c r="P346">
        <v>5</v>
      </c>
      <c r="Q346">
        <v>7</v>
      </c>
      <c r="R346">
        <v>6</v>
      </c>
      <c r="S346">
        <v>3</v>
      </c>
      <c r="T346">
        <v>6</v>
      </c>
      <c r="U346">
        <v>7</v>
      </c>
      <c r="V346">
        <v>99</v>
      </c>
      <c r="W346">
        <v>10</v>
      </c>
      <c r="X346" t="s">
        <v>65</v>
      </c>
      <c r="Y346">
        <v>0</v>
      </c>
    </row>
    <row r="347" spans="1:25" x14ac:dyDescent="0.25">
      <c r="A347" t="s">
        <v>46</v>
      </c>
      <c r="B347">
        <v>18</v>
      </c>
      <c r="C347">
        <v>1</v>
      </c>
      <c r="D347">
        <v>6</v>
      </c>
      <c r="E347">
        <v>8</v>
      </c>
      <c r="F347">
        <v>5</v>
      </c>
      <c r="G347">
        <v>5</v>
      </c>
      <c r="H347">
        <v>4</v>
      </c>
      <c r="I347">
        <v>6</v>
      </c>
      <c r="J347">
        <v>5</v>
      </c>
      <c r="K347">
        <v>5</v>
      </c>
      <c r="L347">
        <v>5</v>
      </c>
      <c r="M347">
        <v>6</v>
      </c>
      <c r="N347">
        <v>5</v>
      </c>
      <c r="O347">
        <v>5</v>
      </c>
      <c r="P347">
        <v>5</v>
      </c>
      <c r="Q347">
        <v>7</v>
      </c>
      <c r="R347">
        <v>6</v>
      </c>
      <c r="S347">
        <v>3</v>
      </c>
      <c r="T347">
        <v>6</v>
      </c>
      <c r="U347">
        <v>7</v>
      </c>
      <c r="V347">
        <v>99</v>
      </c>
      <c r="W347">
        <v>10</v>
      </c>
      <c r="X347" t="s">
        <v>64</v>
      </c>
      <c r="Y347">
        <v>0</v>
      </c>
    </row>
    <row r="348" spans="1:25" x14ac:dyDescent="0.25">
      <c r="A348" t="s">
        <v>46</v>
      </c>
      <c r="B348">
        <v>18</v>
      </c>
      <c r="C348">
        <v>1</v>
      </c>
      <c r="D348">
        <v>6</v>
      </c>
      <c r="E348">
        <v>8</v>
      </c>
      <c r="F348">
        <v>5</v>
      </c>
      <c r="G348">
        <v>5</v>
      </c>
      <c r="H348">
        <v>4</v>
      </c>
      <c r="I348">
        <v>6</v>
      </c>
      <c r="J348">
        <v>5</v>
      </c>
      <c r="K348">
        <v>5</v>
      </c>
      <c r="L348">
        <v>5</v>
      </c>
      <c r="M348">
        <v>6</v>
      </c>
      <c r="N348">
        <v>5</v>
      </c>
      <c r="O348">
        <v>5</v>
      </c>
      <c r="P348">
        <v>5</v>
      </c>
      <c r="Q348">
        <v>7</v>
      </c>
      <c r="R348">
        <v>6</v>
      </c>
      <c r="S348">
        <v>3</v>
      </c>
      <c r="T348">
        <v>6</v>
      </c>
      <c r="U348">
        <v>7</v>
      </c>
      <c r="V348">
        <v>99</v>
      </c>
      <c r="W348">
        <v>10</v>
      </c>
      <c r="X348" t="s">
        <v>67</v>
      </c>
      <c r="Y348">
        <v>7</v>
      </c>
    </row>
    <row r="349" spans="1:25" x14ac:dyDescent="0.25">
      <c r="A349" t="s">
        <v>46</v>
      </c>
      <c r="B349">
        <v>18</v>
      </c>
      <c r="C349">
        <v>1</v>
      </c>
      <c r="D349">
        <v>6</v>
      </c>
      <c r="E349">
        <v>8</v>
      </c>
      <c r="F349">
        <v>5</v>
      </c>
      <c r="G349">
        <v>5</v>
      </c>
      <c r="H349">
        <v>4</v>
      </c>
      <c r="I349">
        <v>6</v>
      </c>
      <c r="J349">
        <v>5</v>
      </c>
      <c r="K349">
        <v>5</v>
      </c>
      <c r="L349">
        <v>5</v>
      </c>
      <c r="M349">
        <v>6</v>
      </c>
      <c r="N349">
        <v>5</v>
      </c>
      <c r="O349">
        <v>5</v>
      </c>
      <c r="P349">
        <v>5</v>
      </c>
      <c r="Q349">
        <v>7</v>
      </c>
      <c r="R349">
        <v>6</v>
      </c>
      <c r="S349">
        <v>3</v>
      </c>
      <c r="T349">
        <v>6</v>
      </c>
      <c r="U349">
        <v>7</v>
      </c>
      <c r="V349">
        <v>99</v>
      </c>
      <c r="W349">
        <v>10</v>
      </c>
      <c r="X349" t="s">
        <v>88</v>
      </c>
      <c r="Y349">
        <v>7</v>
      </c>
    </row>
    <row r="350" spans="1:25" x14ac:dyDescent="0.25">
      <c r="A350" t="s">
        <v>46</v>
      </c>
      <c r="B350">
        <v>18</v>
      </c>
      <c r="C350">
        <v>1</v>
      </c>
      <c r="D350">
        <v>6</v>
      </c>
      <c r="E350">
        <v>8</v>
      </c>
      <c r="F350">
        <v>5</v>
      </c>
      <c r="G350">
        <v>5</v>
      </c>
      <c r="H350">
        <v>4</v>
      </c>
      <c r="I350">
        <v>6</v>
      </c>
      <c r="J350">
        <v>5</v>
      </c>
      <c r="K350">
        <v>5</v>
      </c>
      <c r="L350">
        <v>5</v>
      </c>
      <c r="M350">
        <v>6</v>
      </c>
      <c r="N350">
        <v>5</v>
      </c>
      <c r="O350">
        <v>5</v>
      </c>
      <c r="P350">
        <v>5</v>
      </c>
      <c r="Q350">
        <v>7</v>
      </c>
      <c r="R350">
        <v>6</v>
      </c>
      <c r="S350">
        <v>3</v>
      </c>
      <c r="T350">
        <v>6</v>
      </c>
      <c r="U350">
        <v>7</v>
      </c>
      <c r="V350">
        <v>99</v>
      </c>
      <c r="W350">
        <v>10</v>
      </c>
      <c r="X350" t="s">
        <v>69</v>
      </c>
      <c r="Y350">
        <v>1</v>
      </c>
    </row>
    <row r="351" spans="1:25" x14ac:dyDescent="0.25">
      <c r="A351" t="s">
        <v>46</v>
      </c>
      <c r="B351">
        <v>18</v>
      </c>
      <c r="C351">
        <v>1</v>
      </c>
      <c r="D351">
        <v>6</v>
      </c>
      <c r="E351">
        <v>8</v>
      </c>
      <c r="F351">
        <v>5</v>
      </c>
      <c r="G351">
        <v>5</v>
      </c>
      <c r="H351">
        <v>4</v>
      </c>
      <c r="I351">
        <v>6</v>
      </c>
      <c r="J351">
        <v>5</v>
      </c>
      <c r="K351">
        <v>5</v>
      </c>
      <c r="L351">
        <v>5</v>
      </c>
      <c r="M351">
        <v>6</v>
      </c>
      <c r="N351">
        <v>5</v>
      </c>
      <c r="O351">
        <v>5</v>
      </c>
      <c r="P351">
        <v>5</v>
      </c>
      <c r="Q351">
        <v>7</v>
      </c>
      <c r="R351">
        <v>6</v>
      </c>
      <c r="S351">
        <v>3</v>
      </c>
      <c r="T351">
        <v>6</v>
      </c>
      <c r="U351">
        <v>7</v>
      </c>
      <c r="V351">
        <v>99</v>
      </c>
      <c r="W351">
        <v>10</v>
      </c>
      <c r="X351" t="s">
        <v>89</v>
      </c>
      <c r="Y351">
        <v>1</v>
      </c>
    </row>
    <row r="352" spans="1:25" x14ac:dyDescent="0.25">
      <c r="A352" t="s">
        <v>43</v>
      </c>
      <c r="B352">
        <v>23</v>
      </c>
      <c r="C352">
        <v>1</v>
      </c>
      <c r="D352">
        <v>7</v>
      </c>
      <c r="E352">
        <v>5</v>
      </c>
      <c r="F352">
        <v>4</v>
      </c>
      <c r="G352">
        <v>6</v>
      </c>
      <c r="H352">
        <v>11</v>
      </c>
      <c r="I352">
        <v>7</v>
      </c>
      <c r="J352">
        <v>4</v>
      </c>
      <c r="K352">
        <v>4</v>
      </c>
      <c r="L352">
        <v>4</v>
      </c>
      <c r="M352">
        <v>4</v>
      </c>
      <c r="N352">
        <v>6</v>
      </c>
      <c r="O352">
        <v>7</v>
      </c>
      <c r="P352">
        <v>4</v>
      </c>
      <c r="Q352">
        <v>6</v>
      </c>
      <c r="R352">
        <v>6</v>
      </c>
      <c r="S352">
        <v>3</v>
      </c>
      <c r="T352">
        <v>6</v>
      </c>
      <c r="U352">
        <v>5</v>
      </c>
      <c r="V352">
        <v>99</v>
      </c>
      <c r="W352">
        <v>5</v>
      </c>
      <c r="X352" t="s">
        <v>66</v>
      </c>
      <c r="Y352">
        <v>6</v>
      </c>
    </row>
    <row r="353" spans="1:25" x14ac:dyDescent="0.25">
      <c r="A353" t="s">
        <v>43</v>
      </c>
      <c r="B353">
        <v>23</v>
      </c>
      <c r="C353">
        <v>1</v>
      </c>
      <c r="D353">
        <v>7</v>
      </c>
      <c r="E353">
        <v>5</v>
      </c>
      <c r="F353">
        <v>4</v>
      </c>
      <c r="G353">
        <v>6</v>
      </c>
      <c r="H353">
        <v>11</v>
      </c>
      <c r="I353">
        <v>7</v>
      </c>
      <c r="J353">
        <v>4</v>
      </c>
      <c r="K353">
        <v>4</v>
      </c>
      <c r="L353">
        <v>4</v>
      </c>
      <c r="M353">
        <v>4</v>
      </c>
      <c r="N353">
        <v>6</v>
      </c>
      <c r="O353">
        <v>7</v>
      </c>
      <c r="P353">
        <v>4</v>
      </c>
      <c r="Q353">
        <v>6</v>
      </c>
      <c r="R353">
        <v>6</v>
      </c>
      <c r="S353">
        <v>3</v>
      </c>
      <c r="T353">
        <v>6</v>
      </c>
      <c r="U353">
        <v>5</v>
      </c>
      <c r="V353">
        <v>99</v>
      </c>
      <c r="W353">
        <v>5</v>
      </c>
      <c r="X353" t="s">
        <v>65</v>
      </c>
      <c r="Y353">
        <v>0</v>
      </c>
    </row>
    <row r="354" spans="1:25" x14ac:dyDescent="0.25">
      <c r="A354" t="s">
        <v>43</v>
      </c>
      <c r="B354">
        <v>23</v>
      </c>
      <c r="C354">
        <v>1</v>
      </c>
      <c r="D354">
        <v>7</v>
      </c>
      <c r="E354">
        <v>5</v>
      </c>
      <c r="F354">
        <v>4</v>
      </c>
      <c r="G354">
        <v>6</v>
      </c>
      <c r="H354">
        <v>11</v>
      </c>
      <c r="I354">
        <v>7</v>
      </c>
      <c r="J354">
        <v>4</v>
      </c>
      <c r="K354">
        <v>4</v>
      </c>
      <c r="L354">
        <v>4</v>
      </c>
      <c r="M354">
        <v>4</v>
      </c>
      <c r="N354">
        <v>6</v>
      </c>
      <c r="O354">
        <v>7</v>
      </c>
      <c r="P354">
        <v>4</v>
      </c>
      <c r="Q354">
        <v>6</v>
      </c>
      <c r="R354">
        <v>6</v>
      </c>
      <c r="S354">
        <v>3</v>
      </c>
      <c r="T354">
        <v>6</v>
      </c>
      <c r="U354">
        <v>5</v>
      </c>
      <c r="V354">
        <v>99</v>
      </c>
      <c r="W354">
        <v>5</v>
      </c>
      <c r="X354" t="s">
        <v>64</v>
      </c>
      <c r="Y354">
        <v>0</v>
      </c>
    </row>
    <row r="355" spans="1:25" x14ac:dyDescent="0.25">
      <c r="A355" t="s">
        <v>43</v>
      </c>
      <c r="B355">
        <v>23</v>
      </c>
      <c r="C355">
        <v>1</v>
      </c>
      <c r="D355">
        <v>7</v>
      </c>
      <c r="E355">
        <v>5</v>
      </c>
      <c r="F355">
        <v>4</v>
      </c>
      <c r="G355">
        <v>6</v>
      </c>
      <c r="H355">
        <v>11</v>
      </c>
      <c r="I355">
        <v>7</v>
      </c>
      <c r="J355">
        <v>4</v>
      </c>
      <c r="K355">
        <v>4</v>
      </c>
      <c r="L355">
        <v>4</v>
      </c>
      <c r="M355">
        <v>4</v>
      </c>
      <c r="N355">
        <v>6</v>
      </c>
      <c r="O355">
        <v>7</v>
      </c>
      <c r="P355">
        <v>4</v>
      </c>
      <c r="Q355">
        <v>6</v>
      </c>
      <c r="R355">
        <v>6</v>
      </c>
      <c r="S355">
        <v>3</v>
      </c>
      <c r="T355">
        <v>6</v>
      </c>
      <c r="U355">
        <v>5</v>
      </c>
      <c r="V355">
        <v>99</v>
      </c>
      <c r="W355">
        <v>5</v>
      </c>
      <c r="X355" t="s">
        <v>67</v>
      </c>
      <c r="Y355">
        <v>4</v>
      </c>
    </row>
    <row r="356" spans="1:25" x14ac:dyDescent="0.25">
      <c r="A356" t="s">
        <v>43</v>
      </c>
      <c r="B356">
        <v>23</v>
      </c>
      <c r="C356">
        <v>1</v>
      </c>
      <c r="D356">
        <v>7</v>
      </c>
      <c r="E356">
        <v>5</v>
      </c>
      <c r="F356">
        <v>4</v>
      </c>
      <c r="G356">
        <v>6</v>
      </c>
      <c r="H356">
        <v>11</v>
      </c>
      <c r="I356">
        <v>7</v>
      </c>
      <c r="J356">
        <v>4</v>
      </c>
      <c r="K356">
        <v>4</v>
      </c>
      <c r="L356">
        <v>4</v>
      </c>
      <c r="M356">
        <v>4</v>
      </c>
      <c r="N356">
        <v>6</v>
      </c>
      <c r="O356">
        <v>7</v>
      </c>
      <c r="P356">
        <v>4</v>
      </c>
      <c r="Q356">
        <v>6</v>
      </c>
      <c r="R356">
        <v>6</v>
      </c>
      <c r="S356">
        <v>3</v>
      </c>
      <c r="T356">
        <v>6</v>
      </c>
      <c r="U356">
        <v>5</v>
      </c>
      <c r="V356">
        <v>99</v>
      </c>
      <c r="W356">
        <v>5</v>
      </c>
      <c r="X356" t="s">
        <v>88</v>
      </c>
      <c r="Y356">
        <v>4</v>
      </c>
    </row>
    <row r="357" spans="1:25" x14ac:dyDescent="0.25">
      <c r="A357" t="s">
        <v>43</v>
      </c>
      <c r="B357">
        <v>23</v>
      </c>
      <c r="C357">
        <v>1</v>
      </c>
      <c r="D357">
        <v>7</v>
      </c>
      <c r="E357">
        <v>5</v>
      </c>
      <c r="F357">
        <v>4</v>
      </c>
      <c r="G357">
        <v>6</v>
      </c>
      <c r="H357">
        <v>11</v>
      </c>
      <c r="I357">
        <v>7</v>
      </c>
      <c r="J357">
        <v>4</v>
      </c>
      <c r="K357">
        <v>4</v>
      </c>
      <c r="L357">
        <v>4</v>
      </c>
      <c r="M357">
        <v>4</v>
      </c>
      <c r="N357">
        <v>6</v>
      </c>
      <c r="O357">
        <v>7</v>
      </c>
      <c r="P357">
        <v>4</v>
      </c>
      <c r="Q357">
        <v>6</v>
      </c>
      <c r="R357">
        <v>6</v>
      </c>
      <c r="S357">
        <v>3</v>
      </c>
      <c r="T357">
        <v>6</v>
      </c>
      <c r="U357">
        <v>5</v>
      </c>
      <c r="V357">
        <v>99</v>
      </c>
      <c r="W357">
        <v>5</v>
      </c>
      <c r="X357" t="s">
        <v>69</v>
      </c>
      <c r="Y357">
        <v>3</v>
      </c>
    </row>
    <row r="358" spans="1:25" x14ac:dyDescent="0.25">
      <c r="A358" t="s">
        <v>43</v>
      </c>
      <c r="B358">
        <v>23</v>
      </c>
      <c r="C358">
        <v>1</v>
      </c>
      <c r="D358">
        <v>7</v>
      </c>
      <c r="E358">
        <v>5</v>
      </c>
      <c r="F358">
        <v>4</v>
      </c>
      <c r="G358">
        <v>6</v>
      </c>
      <c r="H358">
        <v>11</v>
      </c>
      <c r="I358">
        <v>7</v>
      </c>
      <c r="J358">
        <v>4</v>
      </c>
      <c r="K358">
        <v>4</v>
      </c>
      <c r="L358">
        <v>4</v>
      </c>
      <c r="M358">
        <v>4</v>
      </c>
      <c r="N358">
        <v>6</v>
      </c>
      <c r="O358">
        <v>7</v>
      </c>
      <c r="P358">
        <v>4</v>
      </c>
      <c r="Q358">
        <v>6</v>
      </c>
      <c r="R358">
        <v>6</v>
      </c>
      <c r="S358">
        <v>3</v>
      </c>
      <c r="T358">
        <v>6</v>
      </c>
      <c r="U358">
        <v>5</v>
      </c>
      <c r="V358">
        <v>99</v>
      </c>
      <c r="W358">
        <v>5</v>
      </c>
      <c r="X358" t="s">
        <v>89</v>
      </c>
      <c r="Y358">
        <v>1</v>
      </c>
    </row>
    <row r="359" spans="1:25" x14ac:dyDescent="0.25">
      <c r="A359" t="s">
        <v>27</v>
      </c>
      <c r="B359">
        <v>26</v>
      </c>
      <c r="C359">
        <v>1</v>
      </c>
      <c r="D359">
        <v>6</v>
      </c>
      <c r="E359">
        <v>5</v>
      </c>
      <c r="F359">
        <v>5</v>
      </c>
      <c r="G359">
        <v>6</v>
      </c>
      <c r="H359">
        <v>4</v>
      </c>
      <c r="I359">
        <v>6</v>
      </c>
      <c r="J359">
        <v>5</v>
      </c>
      <c r="K359">
        <v>5</v>
      </c>
      <c r="L359">
        <v>7</v>
      </c>
      <c r="M359">
        <v>6</v>
      </c>
      <c r="N359">
        <v>4</v>
      </c>
      <c r="O359">
        <v>4</v>
      </c>
      <c r="P359">
        <v>5</v>
      </c>
      <c r="Q359">
        <v>6</v>
      </c>
      <c r="R359">
        <v>7</v>
      </c>
      <c r="S359">
        <v>6</v>
      </c>
      <c r="T359">
        <v>6</v>
      </c>
      <c r="U359">
        <v>7</v>
      </c>
      <c r="V359">
        <v>100</v>
      </c>
      <c r="W359">
        <v>3</v>
      </c>
      <c r="X359" t="s">
        <v>66</v>
      </c>
      <c r="Y359">
        <v>2</v>
      </c>
    </row>
    <row r="360" spans="1:25" x14ac:dyDescent="0.25">
      <c r="A360" t="s">
        <v>27</v>
      </c>
      <c r="B360">
        <v>26</v>
      </c>
      <c r="C360">
        <v>1</v>
      </c>
      <c r="D360">
        <v>6</v>
      </c>
      <c r="E360">
        <v>5</v>
      </c>
      <c r="F360">
        <v>5</v>
      </c>
      <c r="G360">
        <v>6</v>
      </c>
      <c r="H360">
        <v>4</v>
      </c>
      <c r="I360">
        <v>6</v>
      </c>
      <c r="J360">
        <v>5</v>
      </c>
      <c r="K360">
        <v>5</v>
      </c>
      <c r="L360">
        <v>7</v>
      </c>
      <c r="M360">
        <v>6</v>
      </c>
      <c r="N360">
        <v>4</v>
      </c>
      <c r="O360">
        <v>4</v>
      </c>
      <c r="P360">
        <v>5</v>
      </c>
      <c r="Q360">
        <v>6</v>
      </c>
      <c r="R360">
        <v>7</v>
      </c>
      <c r="S360">
        <v>6</v>
      </c>
      <c r="T360">
        <v>6</v>
      </c>
      <c r="U360">
        <v>7</v>
      </c>
      <c r="V360">
        <v>100</v>
      </c>
      <c r="W360">
        <v>3</v>
      </c>
      <c r="X360" t="s">
        <v>65</v>
      </c>
      <c r="Y360">
        <v>0</v>
      </c>
    </row>
    <row r="361" spans="1:25" x14ac:dyDescent="0.25">
      <c r="A361" t="s">
        <v>27</v>
      </c>
      <c r="B361">
        <v>26</v>
      </c>
      <c r="C361">
        <v>1</v>
      </c>
      <c r="D361">
        <v>6</v>
      </c>
      <c r="E361">
        <v>5</v>
      </c>
      <c r="F361">
        <v>5</v>
      </c>
      <c r="G361">
        <v>6</v>
      </c>
      <c r="H361">
        <v>4</v>
      </c>
      <c r="I361">
        <v>6</v>
      </c>
      <c r="J361">
        <v>5</v>
      </c>
      <c r="K361">
        <v>5</v>
      </c>
      <c r="L361">
        <v>7</v>
      </c>
      <c r="M361">
        <v>6</v>
      </c>
      <c r="N361">
        <v>4</v>
      </c>
      <c r="O361">
        <v>4</v>
      </c>
      <c r="P361">
        <v>5</v>
      </c>
      <c r="Q361">
        <v>6</v>
      </c>
      <c r="R361">
        <v>7</v>
      </c>
      <c r="S361">
        <v>6</v>
      </c>
      <c r="T361">
        <v>6</v>
      </c>
      <c r="U361">
        <v>7</v>
      </c>
      <c r="V361">
        <v>100</v>
      </c>
      <c r="W361">
        <v>3</v>
      </c>
      <c r="X361" t="s">
        <v>64</v>
      </c>
      <c r="Y361">
        <v>0</v>
      </c>
    </row>
    <row r="362" spans="1:25" x14ac:dyDescent="0.25">
      <c r="A362" t="s">
        <v>27</v>
      </c>
      <c r="B362">
        <v>26</v>
      </c>
      <c r="C362">
        <v>1</v>
      </c>
      <c r="D362">
        <v>6</v>
      </c>
      <c r="E362">
        <v>5</v>
      </c>
      <c r="F362">
        <v>5</v>
      </c>
      <c r="G362">
        <v>6</v>
      </c>
      <c r="H362">
        <v>4</v>
      </c>
      <c r="I362">
        <v>6</v>
      </c>
      <c r="J362">
        <v>5</v>
      </c>
      <c r="K362">
        <v>5</v>
      </c>
      <c r="L362">
        <v>7</v>
      </c>
      <c r="M362">
        <v>6</v>
      </c>
      <c r="N362">
        <v>4</v>
      </c>
      <c r="O362">
        <v>4</v>
      </c>
      <c r="P362">
        <v>5</v>
      </c>
      <c r="Q362">
        <v>6</v>
      </c>
      <c r="R362">
        <v>7</v>
      </c>
      <c r="S362">
        <v>6</v>
      </c>
      <c r="T362">
        <v>6</v>
      </c>
      <c r="U362">
        <v>7</v>
      </c>
      <c r="V362">
        <v>100</v>
      </c>
      <c r="W362">
        <v>3</v>
      </c>
      <c r="X362" t="s">
        <v>67</v>
      </c>
      <c r="Y362">
        <v>8</v>
      </c>
    </row>
    <row r="363" spans="1:25" x14ac:dyDescent="0.25">
      <c r="A363" t="s">
        <v>27</v>
      </c>
      <c r="B363">
        <v>26</v>
      </c>
      <c r="C363">
        <v>1</v>
      </c>
      <c r="D363">
        <v>6</v>
      </c>
      <c r="E363">
        <v>5</v>
      </c>
      <c r="F363">
        <v>5</v>
      </c>
      <c r="G363">
        <v>6</v>
      </c>
      <c r="H363">
        <v>4</v>
      </c>
      <c r="I363">
        <v>6</v>
      </c>
      <c r="J363">
        <v>5</v>
      </c>
      <c r="K363">
        <v>5</v>
      </c>
      <c r="L363">
        <v>7</v>
      </c>
      <c r="M363">
        <v>6</v>
      </c>
      <c r="N363">
        <v>4</v>
      </c>
      <c r="O363">
        <v>4</v>
      </c>
      <c r="P363">
        <v>5</v>
      </c>
      <c r="Q363">
        <v>6</v>
      </c>
      <c r="R363">
        <v>7</v>
      </c>
      <c r="S363">
        <v>6</v>
      </c>
      <c r="T363">
        <v>6</v>
      </c>
      <c r="U363">
        <v>7</v>
      </c>
      <c r="V363">
        <v>100</v>
      </c>
      <c r="W363">
        <v>3</v>
      </c>
      <c r="X363" t="s">
        <v>88</v>
      </c>
      <c r="Y363">
        <v>3</v>
      </c>
    </row>
    <row r="364" spans="1:25" x14ac:dyDescent="0.25">
      <c r="A364" t="s">
        <v>27</v>
      </c>
      <c r="B364">
        <v>26</v>
      </c>
      <c r="C364">
        <v>1</v>
      </c>
      <c r="D364">
        <v>6</v>
      </c>
      <c r="E364">
        <v>5</v>
      </c>
      <c r="F364">
        <v>5</v>
      </c>
      <c r="G364">
        <v>6</v>
      </c>
      <c r="H364">
        <v>4</v>
      </c>
      <c r="I364">
        <v>6</v>
      </c>
      <c r="J364">
        <v>5</v>
      </c>
      <c r="K364">
        <v>5</v>
      </c>
      <c r="L364">
        <v>7</v>
      </c>
      <c r="M364">
        <v>6</v>
      </c>
      <c r="N364">
        <v>4</v>
      </c>
      <c r="O364">
        <v>4</v>
      </c>
      <c r="P364">
        <v>5</v>
      </c>
      <c r="Q364">
        <v>6</v>
      </c>
      <c r="R364">
        <v>7</v>
      </c>
      <c r="S364">
        <v>6</v>
      </c>
      <c r="T364">
        <v>6</v>
      </c>
      <c r="U364">
        <v>7</v>
      </c>
      <c r="V364">
        <v>100</v>
      </c>
      <c r="W364">
        <v>3</v>
      </c>
      <c r="X364" t="s">
        <v>69</v>
      </c>
      <c r="Y364">
        <v>5</v>
      </c>
    </row>
    <row r="365" spans="1:25" x14ac:dyDescent="0.25">
      <c r="A365" t="s">
        <v>27</v>
      </c>
      <c r="B365">
        <v>26</v>
      </c>
      <c r="C365">
        <v>1</v>
      </c>
      <c r="D365">
        <v>6</v>
      </c>
      <c r="E365">
        <v>5</v>
      </c>
      <c r="F365">
        <v>5</v>
      </c>
      <c r="G365">
        <v>6</v>
      </c>
      <c r="H365">
        <v>4</v>
      </c>
      <c r="I365">
        <v>6</v>
      </c>
      <c r="J365">
        <v>5</v>
      </c>
      <c r="K365">
        <v>5</v>
      </c>
      <c r="L365">
        <v>7</v>
      </c>
      <c r="M365">
        <v>6</v>
      </c>
      <c r="N365">
        <v>4</v>
      </c>
      <c r="O365">
        <v>4</v>
      </c>
      <c r="P365">
        <v>5</v>
      </c>
      <c r="Q365">
        <v>6</v>
      </c>
      <c r="R365">
        <v>7</v>
      </c>
      <c r="S365">
        <v>6</v>
      </c>
      <c r="T365">
        <v>6</v>
      </c>
      <c r="U365">
        <v>7</v>
      </c>
      <c r="V365">
        <v>100</v>
      </c>
      <c r="W365">
        <v>3</v>
      </c>
      <c r="X365" t="s">
        <v>89</v>
      </c>
      <c r="Y365">
        <v>0</v>
      </c>
    </row>
    <row r="366" spans="1:25" x14ac:dyDescent="0.25">
      <c r="A366" t="s">
        <v>23</v>
      </c>
      <c r="B366">
        <v>22</v>
      </c>
      <c r="C366">
        <v>1</v>
      </c>
      <c r="D366">
        <v>9</v>
      </c>
      <c r="E366">
        <v>6</v>
      </c>
      <c r="F366">
        <v>4</v>
      </c>
      <c r="G366">
        <v>4</v>
      </c>
      <c r="H366">
        <v>4</v>
      </c>
      <c r="I366">
        <v>6</v>
      </c>
      <c r="J366">
        <v>5</v>
      </c>
      <c r="K366">
        <v>7</v>
      </c>
      <c r="L366">
        <v>7</v>
      </c>
      <c r="M366">
        <v>6</v>
      </c>
      <c r="N366">
        <v>4</v>
      </c>
      <c r="O366">
        <v>5</v>
      </c>
      <c r="P366">
        <v>4</v>
      </c>
      <c r="Q366">
        <v>8</v>
      </c>
      <c r="R366">
        <v>5</v>
      </c>
      <c r="S366">
        <v>4</v>
      </c>
      <c r="T366">
        <v>6</v>
      </c>
      <c r="U366">
        <v>7</v>
      </c>
      <c r="V366">
        <v>101</v>
      </c>
      <c r="W366">
        <v>8</v>
      </c>
      <c r="X366" t="s">
        <v>66</v>
      </c>
      <c r="Y366">
        <v>3</v>
      </c>
    </row>
    <row r="367" spans="1:25" x14ac:dyDescent="0.25">
      <c r="A367" t="s">
        <v>23</v>
      </c>
      <c r="B367">
        <v>22</v>
      </c>
      <c r="C367">
        <v>1</v>
      </c>
      <c r="D367">
        <v>9</v>
      </c>
      <c r="E367">
        <v>6</v>
      </c>
      <c r="F367">
        <v>4</v>
      </c>
      <c r="G367">
        <v>4</v>
      </c>
      <c r="H367">
        <v>4</v>
      </c>
      <c r="I367">
        <v>6</v>
      </c>
      <c r="J367">
        <v>5</v>
      </c>
      <c r="K367">
        <v>7</v>
      </c>
      <c r="L367">
        <v>7</v>
      </c>
      <c r="M367">
        <v>6</v>
      </c>
      <c r="N367">
        <v>4</v>
      </c>
      <c r="O367">
        <v>5</v>
      </c>
      <c r="P367">
        <v>4</v>
      </c>
      <c r="Q367">
        <v>8</v>
      </c>
      <c r="R367">
        <v>5</v>
      </c>
      <c r="S367">
        <v>4</v>
      </c>
      <c r="T367">
        <v>6</v>
      </c>
      <c r="U367">
        <v>7</v>
      </c>
      <c r="V367">
        <v>101</v>
      </c>
      <c r="W367">
        <v>8</v>
      </c>
      <c r="X367" t="s">
        <v>65</v>
      </c>
      <c r="Y367">
        <v>0</v>
      </c>
    </row>
    <row r="368" spans="1:25" x14ac:dyDescent="0.25">
      <c r="A368" t="s">
        <v>23</v>
      </c>
      <c r="B368">
        <v>22</v>
      </c>
      <c r="C368">
        <v>1</v>
      </c>
      <c r="D368">
        <v>9</v>
      </c>
      <c r="E368">
        <v>6</v>
      </c>
      <c r="F368">
        <v>4</v>
      </c>
      <c r="G368">
        <v>4</v>
      </c>
      <c r="H368">
        <v>4</v>
      </c>
      <c r="I368">
        <v>6</v>
      </c>
      <c r="J368">
        <v>5</v>
      </c>
      <c r="K368">
        <v>7</v>
      </c>
      <c r="L368">
        <v>7</v>
      </c>
      <c r="M368">
        <v>6</v>
      </c>
      <c r="N368">
        <v>4</v>
      </c>
      <c r="O368">
        <v>5</v>
      </c>
      <c r="P368">
        <v>4</v>
      </c>
      <c r="Q368">
        <v>8</v>
      </c>
      <c r="R368">
        <v>5</v>
      </c>
      <c r="S368">
        <v>4</v>
      </c>
      <c r="T368">
        <v>6</v>
      </c>
      <c r="U368">
        <v>7</v>
      </c>
      <c r="V368">
        <v>101</v>
      </c>
      <c r="W368">
        <v>8</v>
      </c>
      <c r="X368" t="s">
        <v>64</v>
      </c>
      <c r="Y368">
        <v>0</v>
      </c>
    </row>
    <row r="369" spans="1:25" x14ac:dyDescent="0.25">
      <c r="A369" t="s">
        <v>23</v>
      </c>
      <c r="B369">
        <v>22</v>
      </c>
      <c r="C369">
        <v>1</v>
      </c>
      <c r="D369">
        <v>9</v>
      </c>
      <c r="E369">
        <v>6</v>
      </c>
      <c r="F369">
        <v>4</v>
      </c>
      <c r="G369">
        <v>4</v>
      </c>
      <c r="H369">
        <v>4</v>
      </c>
      <c r="I369">
        <v>6</v>
      </c>
      <c r="J369">
        <v>5</v>
      </c>
      <c r="K369">
        <v>7</v>
      </c>
      <c r="L369">
        <v>7</v>
      </c>
      <c r="M369">
        <v>6</v>
      </c>
      <c r="N369">
        <v>4</v>
      </c>
      <c r="O369">
        <v>5</v>
      </c>
      <c r="P369">
        <v>4</v>
      </c>
      <c r="Q369">
        <v>8</v>
      </c>
      <c r="R369">
        <v>5</v>
      </c>
      <c r="S369">
        <v>4</v>
      </c>
      <c r="T369">
        <v>6</v>
      </c>
      <c r="U369">
        <v>7</v>
      </c>
      <c r="V369">
        <v>101</v>
      </c>
      <c r="W369">
        <v>8</v>
      </c>
      <c r="X369" t="s">
        <v>67</v>
      </c>
      <c r="Y369">
        <v>6</v>
      </c>
    </row>
    <row r="370" spans="1:25" x14ac:dyDescent="0.25">
      <c r="A370" t="s">
        <v>23</v>
      </c>
      <c r="B370">
        <v>22</v>
      </c>
      <c r="C370">
        <v>1</v>
      </c>
      <c r="D370">
        <v>9</v>
      </c>
      <c r="E370">
        <v>6</v>
      </c>
      <c r="F370">
        <v>4</v>
      </c>
      <c r="G370">
        <v>4</v>
      </c>
      <c r="H370">
        <v>4</v>
      </c>
      <c r="I370">
        <v>6</v>
      </c>
      <c r="J370">
        <v>5</v>
      </c>
      <c r="K370">
        <v>7</v>
      </c>
      <c r="L370">
        <v>7</v>
      </c>
      <c r="M370">
        <v>6</v>
      </c>
      <c r="N370">
        <v>4</v>
      </c>
      <c r="O370">
        <v>5</v>
      </c>
      <c r="P370">
        <v>4</v>
      </c>
      <c r="Q370">
        <v>8</v>
      </c>
      <c r="R370">
        <v>5</v>
      </c>
      <c r="S370">
        <v>4</v>
      </c>
      <c r="T370">
        <v>6</v>
      </c>
      <c r="U370">
        <v>7</v>
      </c>
      <c r="V370">
        <v>101</v>
      </c>
      <c r="W370">
        <v>8</v>
      </c>
      <c r="X370" t="s">
        <v>88</v>
      </c>
      <c r="Y370">
        <v>4</v>
      </c>
    </row>
    <row r="371" spans="1:25" x14ac:dyDescent="0.25">
      <c r="A371" t="s">
        <v>23</v>
      </c>
      <c r="B371">
        <v>22</v>
      </c>
      <c r="C371">
        <v>1</v>
      </c>
      <c r="D371">
        <v>9</v>
      </c>
      <c r="E371">
        <v>6</v>
      </c>
      <c r="F371">
        <v>4</v>
      </c>
      <c r="G371">
        <v>4</v>
      </c>
      <c r="H371">
        <v>4</v>
      </c>
      <c r="I371">
        <v>6</v>
      </c>
      <c r="J371">
        <v>5</v>
      </c>
      <c r="K371">
        <v>7</v>
      </c>
      <c r="L371">
        <v>7</v>
      </c>
      <c r="M371">
        <v>6</v>
      </c>
      <c r="N371">
        <v>4</v>
      </c>
      <c r="O371">
        <v>5</v>
      </c>
      <c r="P371">
        <v>4</v>
      </c>
      <c r="Q371">
        <v>8</v>
      </c>
      <c r="R371">
        <v>5</v>
      </c>
      <c r="S371">
        <v>4</v>
      </c>
      <c r="T371">
        <v>6</v>
      </c>
      <c r="U371">
        <v>7</v>
      </c>
      <c r="V371">
        <v>101</v>
      </c>
      <c r="W371">
        <v>8</v>
      </c>
      <c r="X371" t="s">
        <v>69</v>
      </c>
      <c r="Y371">
        <v>4</v>
      </c>
    </row>
    <row r="372" spans="1:25" x14ac:dyDescent="0.25">
      <c r="A372" t="s">
        <v>23</v>
      </c>
      <c r="B372">
        <v>22</v>
      </c>
      <c r="C372">
        <v>1</v>
      </c>
      <c r="D372">
        <v>9</v>
      </c>
      <c r="E372">
        <v>6</v>
      </c>
      <c r="F372">
        <v>4</v>
      </c>
      <c r="G372">
        <v>4</v>
      </c>
      <c r="H372">
        <v>4</v>
      </c>
      <c r="I372">
        <v>6</v>
      </c>
      <c r="J372">
        <v>5</v>
      </c>
      <c r="K372">
        <v>7</v>
      </c>
      <c r="L372">
        <v>7</v>
      </c>
      <c r="M372">
        <v>6</v>
      </c>
      <c r="N372">
        <v>4</v>
      </c>
      <c r="O372">
        <v>5</v>
      </c>
      <c r="P372">
        <v>4</v>
      </c>
      <c r="Q372">
        <v>8</v>
      </c>
      <c r="R372">
        <v>5</v>
      </c>
      <c r="S372">
        <v>4</v>
      </c>
      <c r="T372">
        <v>6</v>
      </c>
      <c r="U372">
        <v>7</v>
      </c>
      <c r="V372">
        <v>101</v>
      </c>
      <c r="W372">
        <v>8</v>
      </c>
      <c r="X372" t="s">
        <v>89</v>
      </c>
      <c r="Y372">
        <v>1</v>
      </c>
    </row>
    <row r="373" spans="1:25" x14ac:dyDescent="0.25">
      <c r="A373" t="s">
        <v>42</v>
      </c>
      <c r="B373">
        <v>28</v>
      </c>
      <c r="C373">
        <v>2</v>
      </c>
      <c r="D373">
        <v>8</v>
      </c>
      <c r="E373">
        <v>8</v>
      </c>
      <c r="F373">
        <v>4</v>
      </c>
      <c r="G373">
        <v>3</v>
      </c>
      <c r="H373">
        <v>6</v>
      </c>
      <c r="I373">
        <v>6</v>
      </c>
      <c r="J373">
        <v>3</v>
      </c>
      <c r="K373">
        <v>6</v>
      </c>
      <c r="L373">
        <v>5</v>
      </c>
      <c r="M373">
        <v>6</v>
      </c>
      <c r="N373">
        <v>5</v>
      </c>
      <c r="O373">
        <v>6</v>
      </c>
      <c r="P373">
        <v>8</v>
      </c>
      <c r="Q373">
        <v>7</v>
      </c>
      <c r="R373">
        <v>4</v>
      </c>
      <c r="S373">
        <v>5</v>
      </c>
      <c r="T373">
        <v>7</v>
      </c>
      <c r="U373">
        <v>8</v>
      </c>
      <c r="V373">
        <v>105</v>
      </c>
      <c r="W373">
        <v>6</v>
      </c>
      <c r="X373" t="s">
        <v>66</v>
      </c>
      <c r="Y373">
        <v>4</v>
      </c>
    </row>
    <row r="374" spans="1:25" x14ac:dyDescent="0.25">
      <c r="A374" t="s">
        <v>42</v>
      </c>
      <c r="B374">
        <v>28</v>
      </c>
      <c r="C374">
        <v>2</v>
      </c>
      <c r="D374">
        <v>8</v>
      </c>
      <c r="E374">
        <v>8</v>
      </c>
      <c r="F374">
        <v>4</v>
      </c>
      <c r="G374">
        <v>3</v>
      </c>
      <c r="H374">
        <v>6</v>
      </c>
      <c r="I374">
        <v>6</v>
      </c>
      <c r="J374">
        <v>3</v>
      </c>
      <c r="K374">
        <v>6</v>
      </c>
      <c r="L374">
        <v>5</v>
      </c>
      <c r="M374">
        <v>6</v>
      </c>
      <c r="N374">
        <v>5</v>
      </c>
      <c r="O374">
        <v>6</v>
      </c>
      <c r="P374">
        <v>8</v>
      </c>
      <c r="Q374">
        <v>7</v>
      </c>
      <c r="R374">
        <v>4</v>
      </c>
      <c r="S374">
        <v>5</v>
      </c>
      <c r="T374">
        <v>7</v>
      </c>
      <c r="U374">
        <v>8</v>
      </c>
      <c r="V374">
        <v>105</v>
      </c>
      <c r="W374">
        <v>6</v>
      </c>
      <c r="X374" t="s">
        <v>65</v>
      </c>
      <c r="Y374">
        <v>0</v>
      </c>
    </row>
    <row r="375" spans="1:25" x14ac:dyDescent="0.25">
      <c r="A375" t="s">
        <v>42</v>
      </c>
      <c r="B375">
        <v>28</v>
      </c>
      <c r="C375">
        <v>2</v>
      </c>
      <c r="D375">
        <v>8</v>
      </c>
      <c r="E375">
        <v>8</v>
      </c>
      <c r="F375">
        <v>4</v>
      </c>
      <c r="G375">
        <v>3</v>
      </c>
      <c r="H375">
        <v>6</v>
      </c>
      <c r="I375">
        <v>6</v>
      </c>
      <c r="J375">
        <v>3</v>
      </c>
      <c r="K375">
        <v>6</v>
      </c>
      <c r="L375">
        <v>5</v>
      </c>
      <c r="M375">
        <v>6</v>
      </c>
      <c r="N375">
        <v>5</v>
      </c>
      <c r="O375">
        <v>6</v>
      </c>
      <c r="P375">
        <v>8</v>
      </c>
      <c r="Q375">
        <v>7</v>
      </c>
      <c r="R375">
        <v>4</v>
      </c>
      <c r="S375">
        <v>5</v>
      </c>
      <c r="T375">
        <v>7</v>
      </c>
      <c r="U375">
        <v>8</v>
      </c>
      <c r="V375">
        <v>105</v>
      </c>
      <c r="W375">
        <v>6</v>
      </c>
      <c r="X375" t="s">
        <v>64</v>
      </c>
      <c r="Y375">
        <v>0</v>
      </c>
    </row>
    <row r="376" spans="1:25" x14ac:dyDescent="0.25">
      <c r="A376" t="s">
        <v>42</v>
      </c>
      <c r="B376">
        <v>28</v>
      </c>
      <c r="C376">
        <v>2</v>
      </c>
      <c r="D376">
        <v>8</v>
      </c>
      <c r="E376">
        <v>8</v>
      </c>
      <c r="F376">
        <v>4</v>
      </c>
      <c r="G376">
        <v>3</v>
      </c>
      <c r="H376">
        <v>6</v>
      </c>
      <c r="I376">
        <v>6</v>
      </c>
      <c r="J376">
        <v>3</v>
      </c>
      <c r="K376">
        <v>6</v>
      </c>
      <c r="L376">
        <v>5</v>
      </c>
      <c r="M376">
        <v>6</v>
      </c>
      <c r="N376">
        <v>5</v>
      </c>
      <c r="O376">
        <v>6</v>
      </c>
      <c r="P376">
        <v>8</v>
      </c>
      <c r="Q376">
        <v>7</v>
      </c>
      <c r="R376">
        <v>4</v>
      </c>
      <c r="S376">
        <v>5</v>
      </c>
      <c r="T376">
        <v>7</v>
      </c>
      <c r="U376">
        <v>8</v>
      </c>
      <c r="V376">
        <v>105</v>
      </c>
      <c r="W376">
        <v>6</v>
      </c>
      <c r="X376" t="s">
        <v>67</v>
      </c>
      <c r="Y376">
        <v>2</v>
      </c>
    </row>
    <row r="377" spans="1:25" x14ac:dyDescent="0.25">
      <c r="A377" t="s">
        <v>42</v>
      </c>
      <c r="B377">
        <v>28</v>
      </c>
      <c r="C377">
        <v>2</v>
      </c>
      <c r="D377">
        <v>8</v>
      </c>
      <c r="E377">
        <v>8</v>
      </c>
      <c r="F377">
        <v>4</v>
      </c>
      <c r="G377">
        <v>3</v>
      </c>
      <c r="H377">
        <v>6</v>
      </c>
      <c r="I377">
        <v>6</v>
      </c>
      <c r="J377">
        <v>3</v>
      </c>
      <c r="K377">
        <v>6</v>
      </c>
      <c r="L377">
        <v>5</v>
      </c>
      <c r="M377">
        <v>6</v>
      </c>
      <c r="N377">
        <v>5</v>
      </c>
      <c r="O377">
        <v>6</v>
      </c>
      <c r="P377">
        <v>8</v>
      </c>
      <c r="Q377">
        <v>7</v>
      </c>
      <c r="R377">
        <v>4</v>
      </c>
      <c r="S377">
        <v>5</v>
      </c>
      <c r="T377">
        <v>7</v>
      </c>
      <c r="U377">
        <v>8</v>
      </c>
      <c r="V377">
        <v>105</v>
      </c>
      <c r="W377">
        <v>6</v>
      </c>
      <c r="X377" t="s">
        <v>88</v>
      </c>
      <c r="Y377">
        <v>7</v>
      </c>
    </row>
    <row r="378" spans="1:25" x14ac:dyDescent="0.25">
      <c r="A378" t="s">
        <v>42</v>
      </c>
      <c r="B378">
        <v>28</v>
      </c>
      <c r="C378">
        <v>2</v>
      </c>
      <c r="D378">
        <v>8</v>
      </c>
      <c r="E378">
        <v>8</v>
      </c>
      <c r="F378">
        <v>4</v>
      </c>
      <c r="G378">
        <v>3</v>
      </c>
      <c r="H378">
        <v>6</v>
      </c>
      <c r="I378">
        <v>6</v>
      </c>
      <c r="J378">
        <v>3</v>
      </c>
      <c r="K378">
        <v>6</v>
      </c>
      <c r="L378">
        <v>5</v>
      </c>
      <c r="M378">
        <v>6</v>
      </c>
      <c r="N378">
        <v>5</v>
      </c>
      <c r="O378">
        <v>6</v>
      </c>
      <c r="P378">
        <v>8</v>
      </c>
      <c r="Q378">
        <v>7</v>
      </c>
      <c r="R378">
        <v>4</v>
      </c>
      <c r="S378">
        <v>5</v>
      </c>
      <c r="T378">
        <v>7</v>
      </c>
      <c r="U378">
        <v>8</v>
      </c>
      <c r="V378">
        <v>105</v>
      </c>
      <c r="W378">
        <v>6</v>
      </c>
      <c r="X378" t="s">
        <v>69</v>
      </c>
      <c r="Y378">
        <v>2</v>
      </c>
    </row>
    <row r="379" spans="1:25" x14ac:dyDescent="0.25">
      <c r="A379" t="s">
        <v>42</v>
      </c>
      <c r="B379">
        <v>28</v>
      </c>
      <c r="C379">
        <v>2</v>
      </c>
      <c r="D379">
        <v>8</v>
      </c>
      <c r="E379">
        <v>8</v>
      </c>
      <c r="F379">
        <v>4</v>
      </c>
      <c r="G379">
        <v>3</v>
      </c>
      <c r="H379">
        <v>6</v>
      </c>
      <c r="I379">
        <v>6</v>
      </c>
      <c r="J379">
        <v>3</v>
      </c>
      <c r="K379">
        <v>6</v>
      </c>
      <c r="L379">
        <v>5</v>
      </c>
      <c r="M379">
        <v>6</v>
      </c>
      <c r="N379">
        <v>5</v>
      </c>
      <c r="O379">
        <v>6</v>
      </c>
      <c r="P379">
        <v>8</v>
      </c>
      <c r="Q379">
        <v>7</v>
      </c>
      <c r="R379">
        <v>4</v>
      </c>
      <c r="S379">
        <v>5</v>
      </c>
      <c r="T379">
        <v>7</v>
      </c>
      <c r="U379">
        <v>8</v>
      </c>
      <c r="V379">
        <v>105</v>
      </c>
      <c r="W379">
        <v>6</v>
      </c>
      <c r="X379" t="s">
        <v>89</v>
      </c>
      <c r="Y379">
        <v>3</v>
      </c>
    </row>
    <row r="380" spans="1:25" x14ac:dyDescent="0.25">
      <c r="A380" t="s">
        <v>52</v>
      </c>
      <c r="B380">
        <v>30</v>
      </c>
      <c r="C380">
        <v>2</v>
      </c>
      <c r="D380">
        <v>6</v>
      </c>
      <c r="E380">
        <v>8</v>
      </c>
      <c r="F380">
        <v>5</v>
      </c>
      <c r="G380">
        <v>3</v>
      </c>
      <c r="H380">
        <v>8</v>
      </c>
      <c r="I380">
        <v>8</v>
      </c>
      <c r="J380">
        <v>4</v>
      </c>
      <c r="K380">
        <v>4</v>
      </c>
      <c r="L380">
        <v>5</v>
      </c>
      <c r="M380">
        <v>7</v>
      </c>
      <c r="N380">
        <v>4</v>
      </c>
      <c r="O380">
        <v>7</v>
      </c>
      <c r="P380">
        <v>7</v>
      </c>
      <c r="Q380">
        <v>6</v>
      </c>
      <c r="R380">
        <v>7</v>
      </c>
      <c r="S380">
        <v>3</v>
      </c>
      <c r="T380">
        <v>8</v>
      </c>
      <c r="U380">
        <v>6</v>
      </c>
      <c r="V380">
        <v>106</v>
      </c>
      <c r="W380">
        <v>5</v>
      </c>
      <c r="X380" t="s">
        <v>66</v>
      </c>
      <c r="Y380">
        <v>3</v>
      </c>
    </row>
    <row r="381" spans="1:25" x14ac:dyDescent="0.25">
      <c r="A381" t="s">
        <v>52</v>
      </c>
      <c r="B381">
        <v>30</v>
      </c>
      <c r="C381">
        <v>2</v>
      </c>
      <c r="D381">
        <v>6</v>
      </c>
      <c r="E381">
        <v>8</v>
      </c>
      <c r="F381">
        <v>5</v>
      </c>
      <c r="G381">
        <v>3</v>
      </c>
      <c r="H381">
        <v>8</v>
      </c>
      <c r="I381">
        <v>8</v>
      </c>
      <c r="J381">
        <v>4</v>
      </c>
      <c r="K381">
        <v>4</v>
      </c>
      <c r="L381">
        <v>5</v>
      </c>
      <c r="M381">
        <v>7</v>
      </c>
      <c r="N381">
        <v>4</v>
      </c>
      <c r="O381">
        <v>7</v>
      </c>
      <c r="P381">
        <v>7</v>
      </c>
      <c r="Q381">
        <v>6</v>
      </c>
      <c r="R381">
        <v>7</v>
      </c>
      <c r="S381">
        <v>3</v>
      </c>
      <c r="T381">
        <v>8</v>
      </c>
      <c r="U381">
        <v>6</v>
      </c>
      <c r="V381">
        <v>106</v>
      </c>
      <c r="W381">
        <v>5</v>
      </c>
      <c r="X381" t="s">
        <v>65</v>
      </c>
      <c r="Y381">
        <v>0</v>
      </c>
    </row>
    <row r="382" spans="1:25" x14ac:dyDescent="0.25">
      <c r="A382" t="s">
        <v>52</v>
      </c>
      <c r="B382">
        <v>30</v>
      </c>
      <c r="C382">
        <v>2</v>
      </c>
      <c r="D382">
        <v>6</v>
      </c>
      <c r="E382">
        <v>8</v>
      </c>
      <c r="F382">
        <v>5</v>
      </c>
      <c r="G382">
        <v>3</v>
      </c>
      <c r="H382">
        <v>8</v>
      </c>
      <c r="I382">
        <v>8</v>
      </c>
      <c r="J382">
        <v>4</v>
      </c>
      <c r="K382">
        <v>4</v>
      </c>
      <c r="L382">
        <v>5</v>
      </c>
      <c r="M382">
        <v>7</v>
      </c>
      <c r="N382">
        <v>4</v>
      </c>
      <c r="O382">
        <v>7</v>
      </c>
      <c r="P382">
        <v>7</v>
      </c>
      <c r="Q382">
        <v>6</v>
      </c>
      <c r="R382">
        <v>7</v>
      </c>
      <c r="S382">
        <v>3</v>
      </c>
      <c r="T382">
        <v>8</v>
      </c>
      <c r="U382">
        <v>6</v>
      </c>
      <c r="V382">
        <v>106</v>
      </c>
      <c r="W382">
        <v>5</v>
      </c>
      <c r="X382" t="s">
        <v>64</v>
      </c>
      <c r="Y382">
        <v>0</v>
      </c>
    </row>
    <row r="383" spans="1:25" x14ac:dyDescent="0.25">
      <c r="A383" t="s">
        <v>52</v>
      </c>
      <c r="B383">
        <v>30</v>
      </c>
      <c r="C383">
        <v>2</v>
      </c>
      <c r="D383">
        <v>6</v>
      </c>
      <c r="E383">
        <v>8</v>
      </c>
      <c r="F383">
        <v>5</v>
      </c>
      <c r="G383">
        <v>3</v>
      </c>
      <c r="H383">
        <v>8</v>
      </c>
      <c r="I383">
        <v>8</v>
      </c>
      <c r="J383">
        <v>4</v>
      </c>
      <c r="K383">
        <v>4</v>
      </c>
      <c r="L383">
        <v>5</v>
      </c>
      <c r="M383">
        <v>7</v>
      </c>
      <c r="N383">
        <v>4</v>
      </c>
      <c r="O383">
        <v>7</v>
      </c>
      <c r="P383">
        <v>7</v>
      </c>
      <c r="Q383">
        <v>6</v>
      </c>
      <c r="R383">
        <v>7</v>
      </c>
      <c r="S383">
        <v>3</v>
      </c>
      <c r="T383">
        <v>8</v>
      </c>
      <c r="U383">
        <v>6</v>
      </c>
      <c r="V383">
        <v>106</v>
      </c>
      <c r="W383">
        <v>5</v>
      </c>
      <c r="X383" t="s">
        <v>67</v>
      </c>
      <c r="Y383">
        <v>6</v>
      </c>
    </row>
    <row r="384" spans="1:25" x14ac:dyDescent="0.25">
      <c r="A384" t="s">
        <v>52</v>
      </c>
      <c r="B384">
        <v>30</v>
      </c>
      <c r="C384">
        <v>2</v>
      </c>
      <c r="D384">
        <v>6</v>
      </c>
      <c r="E384">
        <v>8</v>
      </c>
      <c r="F384">
        <v>5</v>
      </c>
      <c r="G384">
        <v>3</v>
      </c>
      <c r="H384">
        <v>8</v>
      </c>
      <c r="I384">
        <v>8</v>
      </c>
      <c r="J384">
        <v>4</v>
      </c>
      <c r="K384">
        <v>4</v>
      </c>
      <c r="L384">
        <v>5</v>
      </c>
      <c r="M384">
        <v>7</v>
      </c>
      <c r="N384">
        <v>4</v>
      </c>
      <c r="O384">
        <v>7</v>
      </c>
      <c r="P384">
        <v>7</v>
      </c>
      <c r="Q384">
        <v>6</v>
      </c>
      <c r="R384">
        <v>7</v>
      </c>
      <c r="S384">
        <v>3</v>
      </c>
      <c r="T384">
        <v>8</v>
      </c>
      <c r="U384">
        <v>6</v>
      </c>
      <c r="V384">
        <v>106</v>
      </c>
      <c r="W384">
        <v>5</v>
      </c>
      <c r="X384" t="s">
        <v>88</v>
      </c>
      <c r="Y384">
        <v>1</v>
      </c>
    </row>
    <row r="385" spans="1:25" x14ac:dyDescent="0.25">
      <c r="A385" t="s">
        <v>52</v>
      </c>
      <c r="B385">
        <v>30</v>
      </c>
      <c r="C385">
        <v>2</v>
      </c>
      <c r="D385">
        <v>6</v>
      </c>
      <c r="E385">
        <v>8</v>
      </c>
      <c r="F385">
        <v>5</v>
      </c>
      <c r="G385">
        <v>3</v>
      </c>
      <c r="H385">
        <v>8</v>
      </c>
      <c r="I385">
        <v>8</v>
      </c>
      <c r="J385">
        <v>4</v>
      </c>
      <c r="K385">
        <v>4</v>
      </c>
      <c r="L385">
        <v>5</v>
      </c>
      <c r="M385">
        <v>7</v>
      </c>
      <c r="N385">
        <v>4</v>
      </c>
      <c r="O385">
        <v>7</v>
      </c>
      <c r="P385">
        <v>7</v>
      </c>
      <c r="Q385">
        <v>6</v>
      </c>
      <c r="R385">
        <v>7</v>
      </c>
      <c r="S385">
        <v>3</v>
      </c>
      <c r="T385">
        <v>8</v>
      </c>
      <c r="U385">
        <v>6</v>
      </c>
      <c r="V385">
        <v>106</v>
      </c>
      <c r="W385">
        <v>5</v>
      </c>
      <c r="X385" t="s">
        <v>69</v>
      </c>
      <c r="Y385">
        <v>5</v>
      </c>
    </row>
    <row r="386" spans="1:25" x14ac:dyDescent="0.25">
      <c r="A386" t="s">
        <v>52</v>
      </c>
      <c r="B386">
        <v>30</v>
      </c>
      <c r="C386">
        <v>2</v>
      </c>
      <c r="D386">
        <v>6</v>
      </c>
      <c r="E386">
        <v>8</v>
      </c>
      <c r="F386">
        <v>5</v>
      </c>
      <c r="G386">
        <v>3</v>
      </c>
      <c r="H386">
        <v>8</v>
      </c>
      <c r="I386">
        <v>8</v>
      </c>
      <c r="J386">
        <v>4</v>
      </c>
      <c r="K386">
        <v>4</v>
      </c>
      <c r="L386">
        <v>5</v>
      </c>
      <c r="M386">
        <v>7</v>
      </c>
      <c r="N386">
        <v>4</v>
      </c>
      <c r="O386">
        <v>7</v>
      </c>
      <c r="P386">
        <v>7</v>
      </c>
      <c r="Q386">
        <v>6</v>
      </c>
      <c r="R386">
        <v>7</v>
      </c>
      <c r="S386">
        <v>3</v>
      </c>
      <c r="T386">
        <v>8</v>
      </c>
      <c r="U386">
        <v>6</v>
      </c>
      <c r="V386">
        <v>106</v>
      </c>
      <c r="W386">
        <v>5</v>
      </c>
      <c r="X386" t="s">
        <v>89</v>
      </c>
      <c r="Y386">
        <v>3</v>
      </c>
    </row>
    <row r="387" spans="1:25" x14ac:dyDescent="0.25">
      <c r="A387" t="s">
        <v>53</v>
      </c>
      <c r="B387">
        <v>40</v>
      </c>
      <c r="C387">
        <v>2</v>
      </c>
      <c r="D387">
        <v>7</v>
      </c>
      <c r="E387">
        <v>7</v>
      </c>
      <c r="F387">
        <v>6</v>
      </c>
      <c r="G387">
        <v>5</v>
      </c>
      <c r="H387">
        <v>6</v>
      </c>
      <c r="I387">
        <v>6</v>
      </c>
      <c r="J387">
        <v>4</v>
      </c>
      <c r="K387">
        <v>4</v>
      </c>
      <c r="L387">
        <v>7</v>
      </c>
      <c r="M387">
        <v>8</v>
      </c>
      <c r="N387">
        <v>3</v>
      </c>
      <c r="O387">
        <v>6</v>
      </c>
      <c r="P387">
        <v>6</v>
      </c>
      <c r="Q387">
        <v>7</v>
      </c>
      <c r="R387">
        <v>7</v>
      </c>
      <c r="S387">
        <v>3</v>
      </c>
      <c r="T387">
        <v>7</v>
      </c>
      <c r="U387">
        <v>7</v>
      </c>
      <c r="V387">
        <v>106</v>
      </c>
      <c r="W387">
        <v>-5</v>
      </c>
      <c r="X387" t="s">
        <v>66</v>
      </c>
      <c r="Y387">
        <v>3</v>
      </c>
    </row>
    <row r="388" spans="1:25" x14ac:dyDescent="0.25">
      <c r="A388" t="s">
        <v>53</v>
      </c>
      <c r="B388">
        <v>40</v>
      </c>
      <c r="C388">
        <v>2</v>
      </c>
      <c r="D388">
        <v>7</v>
      </c>
      <c r="E388">
        <v>7</v>
      </c>
      <c r="F388">
        <v>6</v>
      </c>
      <c r="G388">
        <v>5</v>
      </c>
      <c r="H388">
        <v>6</v>
      </c>
      <c r="I388">
        <v>6</v>
      </c>
      <c r="J388">
        <v>4</v>
      </c>
      <c r="K388">
        <v>4</v>
      </c>
      <c r="L388">
        <v>7</v>
      </c>
      <c r="M388">
        <v>8</v>
      </c>
      <c r="N388">
        <v>3</v>
      </c>
      <c r="O388">
        <v>6</v>
      </c>
      <c r="P388">
        <v>6</v>
      </c>
      <c r="Q388">
        <v>7</v>
      </c>
      <c r="R388">
        <v>7</v>
      </c>
      <c r="S388">
        <v>3</v>
      </c>
      <c r="T388">
        <v>7</v>
      </c>
      <c r="U388">
        <v>7</v>
      </c>
      <c r="V388">
        <v>106</v>
      </c>
      <c r="W388">
        <v>-5</v>
      </c>
      <c r="X388" t="s">
        <v>65</v>
      </c>
      <c r="Y388">
        <v>0</v>
      </c>
    </row>
    <row r="389" spans="1:25" x14ac:dyDescent="0.25">
      <c r="A389" t="s">
        <v>53</v>
      </c>
      <c r="B389">
        <v>40</v>
      </c>
      <c r="C389">
        <v>2</v>
      </c>
      <c r="D389">
        <v>7</v>
      </c>
      <c r="E389">
        <v>7</v>
      </c>
      <c r="F389">
        <v>6</v>
      </c>
      <c r="G389">
        <v>5</v>
      </c>
      <c r="H389">
        <v>6</v>
      </c>
      <c r="I389">
        <v>6</v>
      </c>
      <c r="J389">
        <v>4</v>
      </c>
      <c r="K389">
        <v>4</v>
      </c>
      <c r="L389">
        <v>7</v>
      </c>
      <c r="M389">
        <v>8</v>
      </c>
      <c r="N389">
        <v>3</v>
      </c>
      <c r="O389">
        <v>6</v>
      </c>
      <c r="P389">
        <v>6</v>
      </c>
      <c r="Q389">
        <v>7</v>
      </c>
      <c r="R389">
        <v>7</v>
      </c>
      <c r="S389">
        <v>3</v>
      </c>
      <c r="T389">
        <v>7</v>
      </c>
      <c r="U389">
        <v>7</v>
      </c>
      <c r="V389">
        <v>106</v>
      </c>
      <c r="W389">
        <v>-5</v>
      </c>
      <c r="X389" t="s">
        <v>64</v>
      </c>
      <c r="Y389">
        <v>0</v>
      </c>
    </row>
    <row r="390" spans="1:25" x14ac:dyDescent="0.25">
      <c r="A390" t="s">
        <v>53</v>
      </c>
      <c r="B390">
        <v>40</v>
      </c>
      <c r="C390">
        <v>2</v>
      </c>
      <c r="D390">
        <v>7</v>
      </c>
      <c r="E390">
        <v>7</v>
      </c>
      <c r="F390">
        <v>6</v>
      </c>
      <c r="G390">
        <v>5</v>
      </c>
      <c r="H390">
        <v>6</v>
      </c>
      <c r="I390">
        <v>6</v>
      </c>
      <c r="J390">
        <v>4</v>
      </c>
      <c r="K390">
        <v>4</v>
      </c>
      <c r="L390">
        <v>7</v>
      </c>
      <c r="M390">
        <v>8</v>
      </c>
      <c r="N390">
        <v>3</v>
      </c>
      <c r="O390">
        <v>6</v>
      </c>
      <c r="P390">
        <v>6</v>
      </c>
      <c r="Q390">
        <v>7</v>
      </c>
      <c r="R390">
        <v>7</v>
      </c>
      <c r="S390">
        <v>3</v>
      </c>
      <c r="T390">
        <v>7</v>
      </c>
      <c r="U390">
        <v>7</v>
      </c>
      <c r="V390">
        <v>106</v>
      </c>
      <c r="W390">
        <v>-5</v>
      </c>
      <c r="X390" t="s">
        <v>67</v>
      </c>
      <c r="Y390">
        <v>2</v>
      </c>
    </row>
    <row r="391" spans="1:25" x14ac:dyDescent="0.25">
      <c r="A391" t="s">
        <v>53</v>
      </c>
      <c r="B391">
        <v>40</v>
      </c>
      <c r="C391">
        <v>2</v>
      </c>
      <c r="D391">
        <v>7</v>
      </c>
      <c r="E391">
        <v>7</v>
      </c>
      <c r="F391">
        <v>6</v>
      </c>
      <c r="G391">
        <v>5</v>
      </c>
      <c r="H391">
        <v>6</v>
      </c>
      <c r="I391">
        <v>6</v>
      </c>
      <c r="J391">
        <v>4</v>
      </c>
      <c r="K391">
        <v>4</v>
      </c>
      <c r="L391">
        <v>7</v>
      </c>
      <c r="M391">
        <v>8</v>
      </c>
      <c r="N391">
        <v>3</v>
      </c>
      <c r="O391">
        <v>6</v>
      </c>
      <c r="P391">
        <v>6</v>
      </c>
      <c r="Q391">
        <v>7</v>
      </c>
      <c r="R391">
        <v>7</v>
      </c>
      <c r="S391">
        <v>3</v>
      </c>
      <c r="T391">
        <v>7</v>
      </c>
      <c r="U391">
        <v>7</v>
      </c>
      <c r="V391">
        <v>106</v>
      </c>
      <c r="W391">
        <v>-5</v>
      </c>
      <c r="X391" t="s">
        <v>88</v>
      </c>
      <c r="Y391">
        <v>7</v>
      </c>
    </row>
    <row r="392" spans="1:25" x14ac:dyDescent="0.25">
      <c r="A392" t="s">
        <v>53</v>
      </c>
      <c r="B392">
        <v>40</v>
      </c>
      <c r="C392">
        <v>2</v>
      </c>
      <c r="D392">
        <v>7</v>
      </c>
      <c r="E392">
        <v>7</v>
      </c>
      <c r="F392">
        <v>6</v>
      </c>
      <c r="G392">
        <v>5</v>
      </c>
      <c r="H392">
        <v>6</v>
      </c>
      <c r="I392">
        <v>6</v>
      </c>
      <c r="J392">
        <v>4</v>
      </c>
      <c r="K392">
        <v>4</v>
      </c>
      <c r="L392">
        <v>7</v>
      </c>
      <c r="M392">
        <v>8</v>
      </c>
      <c r="N392">
        <v>3</v>
      </c>
      <c r="O392">
        <v>6</v>
      </c>
      <c r="P392">
        <v>6</v>
      </c>
      <c r="Q392">
        <v>7</v>
      </c>
      <c r="R392">
        <v>7</v>
      </c>
      <c r="S392">
        <v>3</v>
      </c>
      <c r="T392">
        <v>7</v>
      </c>
      <c r="U392">
        <v>7</v>
      </c>
      <c r="V392">
        <v>106</v>
      </c>
      <c r="W392">
        <v>-5</v>
      </c>
      <c r="X392" t="s">
        <v>69</v>
      </c>
      <c r="Y392">
        <v>5</v>
      </c>
    </row>
    <row r="393" spans="1:25" x14ac:dyDescent="0.25">
      <c r="A393" t="s">
        <v>53</v>
      </c>
      <c r="B393">
        <v>40</v>
      </c>
      <c r="C393">
        <v>2</v>
      </c>
      <c r="D393">
        <v>7</v>
      </c>
      <c r="E393">
        <v>7</v>
      </c>
      <c r="F393">
        <v>6</v>
      </c>
      <c r="G393">
        <v>5</v>
      </c>
      <c r="H393">
        <v>6</v>
      </c>
      <c r="I393">
        <v>6</v>
      </c>
      <c r="J393">
        <v>4</v>
      </c>
      <c r="K393">
        <v>4</v>
      </c>
      <c r="L393">
        <v>7</v>
      </c>
      <c r="M393">
        <v>8</v>
      </c>
      <c r="N393">
        <v>3</v>
      </c>
      <c r="O393">
        <v>6</v>
      </c>
      <c r="P393">
        <v>6</v>
      </c>
      <c r="Q393">
        <v>7</v>
      </c>
      <c r="R393">
        <v>7</v>
      </c>
      <c r="S393">
        <v>3</v>
      </c>
      <c r="T393">
        <v>7</v>
      </c>
      <c r="U393">
        <v>7</v>
      </c>
      <c r="V393">
        <v>106</v>
      </c>
      <c r="W393">
        <v>-5</v>
      </c>
      <c r="X393" t="s">
        <v>89</v>
      </c>
      <c r="Y393">
        <v>1</v>
      </c>
    </row>
    <row r="394" spans="1:25" x14ac:dyDescent="0.25">
      <c r="A394" t="s">
        <v>52</v>
      </c>
      <c r="B394">
        <v>30</v>
      </c>
      <c r="C394">
        <v>1</v>
      </c>
      <c r="D394">
        <v>9</v>
      </c>
      <c r="E394">
        <v>6</v>
      </c>
      <c r="F394">
        <v>7</v>
      </c>
      <c r="G394">
        <v>6</v>
      </c>
      <c r="H394">
        <v>6</v>
      </c>
      <c r="I394">
        <v>7</v>
      </c>
      <c r="J394">
        <v>6</v>
      </c>
      <c r="K394">
        <v>4</v>
      </c>
      <c r="L394">
        <v>6</v>
      </c>
      <c r="M394">
        <v>6</v>
      </c>
      <c r="N394">
        <v>4</v>
      </c>
      <c r="O394">
        <v>6</v>
      </c>
      <c r="P394">
        <v>8</v>
      </c>
      <c r="Q394">
        <v>7</v>
      </c>
      <c r="R394">
        <v>6</v>
      </c>
      <c r="S394">
        <v>3</v>
      </c>
      <c r="T394">
        <v>8</v>
      </c>
      <c r="U394">
        <v>6</v>
      </c>
      <c r="V394">
        <v>111</v>
      </c>
      <c r="W394">
        <v>10</v>
      </c>
      <c r="X394" t="s">
        <v>66</v>
      </c>
      <c r="Y394">
        <v>2</v>
      </c>
    </row>
    <row r="395" spans="1:25" x14ac:dyDescent="0.25">
      <c r="A395" t="s">
        <v>52</v>
      </c>
      <c r="B395">
        <v>30</v>
      </c>
      <c r="C395">
        <v>1</v>
      </c>
      <c r="D395">
        <v>9</v>
      </c>
      <c r="E395">
        <v>6</v>
      </c>
      <c r="F395">
        <v>7</v>
      </c>
      <c r="G395">
        <v>6</v>
      </c>
      <c r="H395">
        <v>6</v>
      </c>
      <c r="I395">
        <v>7</v>
      </c>
      <c r="J395">
        <v>6</v>
      </c>
      <c r="K395">
        <v>4</v>
      </c>
      <c r="L395">
        <v>6</v>
      </c>
      <c r="M395">
        <v>6</v>
      </c>
      <c r="N395">
        <v>4</v>
      </c>
      <c r="O395">
        <v>6</v>
      </c>
      <c r="P395">
        <v>8</v>
      </c>
      <c r="Q395">
        <v>7</v>
      </c>
      <c r="R395">
        <v>6</v>
      </c>
      <c r="S395">
        <v>3</v>
      </c>
      <c r="T395">
        <v>8</v>
      </c>
      <c r="U395">
        <v>6</v>
      </c>
      <c r="V395">
        <v>111</v>
      </c>
      <c r="W395">
        <v>10</v>
      </c>
      <c r="X395" t="s">
        <v>65</v>
      </c>
      <c r="Y395">
        <v>0</v>
      </c>
    </row>
    <row r="396" spans="1:25" x14ac:dyDescent="0.25">
      <c r="A396" t="s">
        <v>52</v>
      </c>
      <c r="B396">
        <v>30</v>
      </c>
      <c r="C396">
        <v>1</v>
      </c>
      <c r="D396">
        <v>9</v>
      </c>
      <c r="E396">
        <v>6</v>
      </c>
      <c r="F396">
        <v>7</v>
      </c>
      <c r="G396">
        <v>6</v>
      </c>
      <c r="H396">
        <v>6</v>
      </c>
      <c r="I396">
        <v>7</v>
      </c>
      <c r="J396">
        <v>6</v>
      </c>
      <c r="K396">
        <v>4</v>
      </c>
      <c r="L396">
        <v>6</v>
      </c>
      <c r="M396">
        <v>6</v>
      </c>
      <c r="N396">
        <v>4</v>
      </c>
      <c r="O396">
        <v>6</v>
      </c>
      <c r="P396">
        <v>8</v>
      </c>
      <c r="Q396">
        <v>7</v>
      </c>
      <c r="R396">
        <v>6</v>
      </c>
      <c r="S396">
        <v>3</v>
      </c>
      <c r="T396">
        <v>8</v>
      </c>
      <c r="U396">
        <v>6</v>
      </c>
      <c r="V396">
        <v>111</v>
      </c>
      <c r="W396">
        <v>10</v>
      </c>
      <c r="X396" t="s">
        <v>64</v>
      </c>
      <c r="Y396">
        <v>0</v>
      </c>
    </row>
    <row r="397" spans="1:25" x14ac:dyDescent="0.25">
      <c r="A397" t="s">
        <v>52</v>
      </c>
      <c r="B397">
        <v>30</v>
      </c>
      <c r="C397">
        <v>1</v>
      </c>
      <c r="D397">
        <v>9</v>
      </c>
      <c r="E397">
        <v>6</v>
      </c>
      <c r="F397">
        <v>7</v>
      </c>
      <c r="G397">
        <v>6</v>
      </c>
      <c r="H397">
        <v>6</v>
      </c>
      <c r="I397">
        <v>7</v>
      </c>
      <c r="J397">
        <v>6</v>
      </c>
      <c r="K397">
        <v>4</v>
      </c>
      <c r="L397">
        <v>6</v>
      </c>
      <c r="M397">
        <v>6</v>
      </c>
      <c r="N397">
        <v>4</v>
      </c>
      <c r="O397">
        <v>6</v>
      </c>
      <c r="P397">
        <v>8</v>
      </c>
      <c r="Q397">
        <v>7</v>
      </c>
      <c r="R397">
        <v>6</v>
      </c>
      <c r="S397">
        <v>3</v>
      </c>
      <c r="T397">
        <v>8</v>
      </c>
      <c r="U397">
        <v>6</v>
      </c>
      <c r="V397">
        <v>111</v>
      </c>
      <c r="W397">
        <v>10</v>
      </c>
      <c r="X397" t="s">
        <v>67</v>
      </c>
      <c r="Y397">
        <v>1</v>
      </c>
    </row>
    <row r="398" spans="1:25" x14ac:dyDescent="0.25">
      <c r="A398" t="s">
        <v>52</v>
      </c>
      <c r="B398">
        <v>30</v>
      </c>
      <c r="C398">
        <v>1</v>
      </c>
      <c r="D398">
        <v>9</v>
      </c>
      <c r="E398">
        <v>6</v>
      </c>
      <c r="F398">
        <v>7</v>
      </c>
      <c r="G398">
        <v>6</v>
      </c>
      <c r="H398">
        <v>6</v>
      </c>
      <c r="I398">
        <v>7</v>
      </c>
      <c r="J398">
        <v>6</v>
      </c>
      <c r="K398">
        <v>4</v>
      </c>
      <c r="L398">
        <v>6</v>
      </c>
      <c r="M398">
        <v>6</v>
      </c>
      <c r="N398">
        <v>4</v>
      </c>
      <c r="O398">
        <v>6</v>
      </c>
      <c r="P398">
        <v>8</v>
      </c>
      <c r="Q398">
        <v>7</v>
      </c>
      <c r="R398">
        <v>6</v>
      </c>
      <c r="S398">
        <v>3</v>
      </c>
      <c r="T398">
        <v>8</v>
      </c>
      <c r="U398">
        <v>6</v>
      </c>
      <c r="V398">
        <v>111</v>
      </c>
      <c r="W398">
        <v>10</v>
      </c>
      <c r="X398" t="s">
        <v>88</v>
      </c>
      <c r="Y398">
        <v>9</v>
      </c>
    </row>
    <row r="399" spans="1:25" x14ac:dyDescent="0.25">
      <c r="A399" t="s">
        <v>52</v>
      </c>
      <c r="B399">
        <v>30</v>
      </c>
      <c r="C399">
        <v>1</v>
      </c>
      <c r="D399">
        <v>9</v>
      </c>
      <c r="E399">
        <v>6</v>
      </c>
      <c r="F399">
        <v>7</v>
      </c>
      <c r="G399">
        <v>6</v>
      </c>
      <c r="H399">
        <v>6</v>
      </c>
      <c r="I399">
        <v>7</v>
      </c>
      <c r="J399">
        <v>6</v>
      </c>
      <c r="K399">
        <v>4</v>
      </c>
      <c r="L399">
        <v>6</v>
      </c>
      <c r="M399">
        <v>6</v>
      </c>
      <c r="N399">
        <v>4</v>
      </c>
      <c r="O399">
        <v>6</v>
      </c>
      <c r="P399">
        <v>8</v>
      </c>
      <c r="Q399">
        <v>7</v>
      </c>
      <c r="R399">
        <v>6</v>
      </c>
      <c r="S399">
        <v>3</v>
      </c>
      <c r="T399">
        <v>8</v>
      </c>
      <c r="U399">
        <v>6</v>
      </c>
      <c r="V399">
        <v>111</v>
      </c>
      <c r="W399">
        <v>10</v>
      </c>
      <c r="X399" t="s">
        <v>69</v>
      </c>
      <c r="Y399">
        <v>3</v>
      </c>
    </row>
    <row r="400" spans="1:25" x14ac:dyDescent="0.25">
      <c r="A400" t="s">
        <v>52</v>
      </c>
      <c r="B400">
        <v>30</v>
      </c>
      <c r="C400">
        <v>1</v>
      </c>
      <c r="D400">
        <v>9</v>
      </c>
      <c r="E400">
        <v>6</v>
      </c>
      <c r="F400">
        <v>7</v>
      </c>
      <c r="G400">
        <v>6</v>
      </c>
      <c r="H400">
        <v>6</v>
      </c>
      <c r="I400">
        <v>7</v>
      </c>
      <c r="J400">
        <v>6</v>
      </c>
      <c r="K400">
        <v>4</v>
      </c>
      <c r="L400">
        <v>6</v>
      </c>
      <c r="M400">
        <v>6</v>
      </c>
      <c r="N400">
        <v>4</v>
      </c>
      <c r="O400">
        <v>6</v>
      </c>
      <c r="P400">
        <v>8</v>
      </c>
      <c r="Q400">
        <v>7</v>
      </c>
      <c r="R400">
        <v>6</v>
      </c>
      <c r="S400">
        <v>3</v>
      </c>
      <c r="T400">
        <v>8</v>
      </c>
      <c r="U400">
        <v>6</v>
      </c>
      <c r="V400">
        <v>111</v>
      </c>
      <c r="W400">
        <v>10</v>
      </c>
      <c r="X400" t="s">
        <v>89</v>
      </c>
      <c r="Y400">
        <v>3</v>
      </c>
    </row>
    <row r="401" spans="1:25" x14ac:dyDescent="0.25">
      <c r="A401" t="s">
        <v>53</v>
      </c>
      <c r="B401">
        <v>40</v>
      </c>
      <c r="C401">
        <v>1</v>
      </c>
      <c r="D401">
        <v>11</v>
      </c>
      <c r="E401">
        <v>5</v>
      </c>
      <c r="F401">
        <v>5</v>
      </c>
      <c r="G401">
        <v>4</v>
      </c>
      <c r="H401">
        <v>5</v>
      </c>
      <c r="I401">
        <v>7</v>
      </c>
      <c r="J401">
        <v>6</v>
      </c>
      <c r="K401">
        <v>6</v>
      </c>
      <c r="L401">
        <v>6</v>
      </c>
      <c r="M401">
        <v>7</v>
      </c>
      <c r="N401">
        <v>5</v>
      </c>
      <c r="O401">
        <v>7</v>
      </c>
      <c r="P401">
        <v>9</v>
      </c>
      <c r="Q401">
        <v>7</v>
      </c>
      <c r="R401">
        <v>6</v>
      </c>
      <c r="S401">
        <v>3</v>
      </c>
      <c r="T401">
        <v>7</v>
      </c>
      <c r="U401">
        <v>6</v>
      </c>
      <c r="V401">
        <v>112</v>
      </c>
      <c r="W401">
        <v>1</v>
      </c>
      <c r="X401" t="s">
        <v>66</v>
      </c>
      <c r="Y401">
        <v>1</v>
      </c>
    </row>
    <row r="402" spans="1:25" x14ac:dyDescent="0.25">
      <c r="A402" t="s">
        <v>53</v>
      </c>
      <c r="B402">
        <v>40</v>
      </c>
      <c r="C402">
        <v>1</v>
      </c>
      <c r="D402">
        <v>11</v>
      </c>
      <c r="E402">
        <v>5</v>
      </c>
      <c r="F402">
        <v>5</v>
      </c>
      <c r="G402">
        <v>4</v>
      </c>
      <c r="H402">
        <v>5</v>
      </c>
      <c r="I402">
        <v>7</v>
      </c>
      <c r="J402">
        <v>6</v>
      </c>
      <c r="K402">
        <v>6</v>
      </c>
      <c r="L402">
        <v>6</v>
      </c>
      <c r="M402">
        <v>7</v>
      </c>
      <c r="N402">
        <v>5</v>
      </c>
      <c r="O402">
        <v>7</v>
      </c>
      <c r="P402">
        <v>9</v>
      </c>
      <c r="Q402">
        <v>7</v>
      </c>
      <c r="R402">
        <v>6</v>
      </c>
      <c r="S402">
        <v>3</v>
      </c>
      <c r="T402">
        <v>7</v>
      </c>
      <c r="U402">
        <v>6</v>
      </c>
      <c r="V402">
        <v>112</v>
      </c>
      <c r="W402">
        <v>1</v>
      </c>
      <c r="X402" t="s">
        <v>65</v>
      </c>
      <c r="Y402">
        <v>0</v>
      </c>
    </row>
    <row r="403" spans="1:25" x14ac:dyDescent="0.25">
      <c r="A403" t="s">
        <v>53</v>
      </c>
      <c r="B403">
        <v>40</v>
      </c>
      <c r="C403">
        <v>1</v>
      </c>
      <c r="D403">
        <v>11</v>
      </c>
      <c r="E403">
        <v>5</v>
      </c>
      <c r="F403">
        <v>5</v>
      </c>
      <c r="G403">
        <v>4</v>
      </c>
      <c r="H403">
        <v>5</v>
      </c>
      <c r="I403">
        <v>7</v>
      </c>
      <c r="J403">
        <v>6</v>
      </c>
      <c r="K403">
        <v>6</v>
      </c>
      <c r="L403">
        <v>6</v>
      </c>
      <c r="M403">
        <v>7</v>
      </c>
      <c r="N403">
        <v>5</v>
      </c>
      <c r="O403">
        <v>7</v>
      </c>
      <c r="P403">
        <v>9</v>
      </c>
      <c r="Q403">
        <v>7</v>
      </c>
      <c r="R403">
        <v>6</v>
      </c>
      <c r="S403">
        <v>3</v>
      </c>
      <c r="T403">
        <v>7</v>
      </c>
      <c r="U403">
        <v>6</v>
      </c>
      <c r="V403">
        <v>112</v>
      </c>
      <c r="W403">
        <v>1</v>
      </c>
      <c r="X403" t="s">
        <v>64</v>
      </c>
      <c r="Y403">
        <v>0</v>
      </c>
    </row>
    <row r="404" spans="1:25" x14ac:dyDescent="0.25">
      <c r="A404" t="s">
        <v>53</v>
      </c>
      <c r="B404">
        <v>40</v>
      </c>
      <c r="C404">
        <v>1</v>
      </c>
      <c r="D404">
        <v>11</v>
      </c>
      <c r="E404">
        <v>5</v>
      </c>
      <c r="F404">
        <v>5</v>
      </c>
      <c r="G404">
        <v>4</v>
      </c>
      <c r="H404">
        <v>5</v>
      </c>
      <c r="I404">
        <v>7</v>
      </c>
      <c r="J404">
        <v>6</v>
      </c>
      <c r="K404">
        <v>6</v>
      </c>
      <c r="L404">
        <v>6</v>
      </c>
      <c r="M404">
        <v>7</v>
      </c>
      <c r="N404">
        <v>5</v>
      </c>
      <c r="O404">
        <v>7</v>
      </c>
      <c r="P404">
        <v>9</v>
      </c>
      <c r="Q404">
        <v>7</v>
      </c>
      <c r="R404">
        <v>6</v>
      </c>
      <c r="S404">
        <v>3</v>
      </c>
      <c r="T404">
        <v>7</v>
      </c>
      <c r="U404">
        <v>6</v>
      </c>
      <c r="V404">
        <v>112</v>
      </c>
      <c r="W404">
        <v>1</v>
      </c>
      <c r="X404" t="s">
        <v>67</v>
      </c>
      <c r="Y404">
        <v>4</v>
      </c>
    </row>
    <row r="405" spans="1:25" x14ac:dyDescent="0.25">
      <c r="A405" t="s">
        <v>53</v>
      </c>
      <c r="B405">
        <v>40</v>
      </c>
      <c r="C405">
        <v>1</v>
      </c>
      <c r="D405">
        <v>11</v>
      </c>
      <c r="E405">
        <v>5</v>
      </c>
      <c r="F405">
        <v>5</v>
      </c>
      <c r="G405">
        <v>4</v>
      </c>
      <c r="H405">
        <v>5</v>
      </c>
      <c r="I405">
        <v>7</v>
      </c>
      <c r="J405">
        <v>6</v>
      </c>
      <c r="K405">
        <v>6</v>
      </c>
      <c r="L405">
        <v>6</v>
      </c>
      <c r="M405">
        <v>7</v>
      </c>
      <c r="N405">
        <v>5</v>
      </c>
      <c r="O405">
        <v>7</v>
      </c>
      <c r="P405">
        <v>9</v>
      </c>
      <c r="Q405">
        <v>7</v>
      </c>
      <c r="R405">
        <v>6</v>
      </c>
      <c r="S405">
        <v>3</v>
      </c>
      <c r="T405">
        <v>7</v>
      </c>
      <c r="U405">
        <v>6</v>
      </c>
      <c r="V405">
        <v>112</v>
      </c>
      <c r="W405">
        <v>1</v>
      </c>
      <c r="X405" t="s">
        <v>88</v>
      </c>
      <c r="Y405">
        <v>7</v>
      </c>
    </row>
    <row r="406" spans="1:25" x14ac:dyDescent="0.25">
      <c r="A406" t="s">
        <v>53</v>
      </c>
      <c r="B406">
        <v>40</v>
      </c>
      <c r="C406">
        <v>1</v>
      </c>
      <c r="D406">
        <v>11</v>
      </c>
      <c r="E406">
        <v>5</v>
      </c>
      <c r="F406">
        <v>5</v>
      </c>
      <c r="G406">
        <v>4</v>
      </c>
      <c r="H406">
        <v>5</v>
      </c>
      <c r="I406">
        <v>7</v>
      </c>
      <c r="J406">
        <v>6</v>
      </c>
      <c r="K406">
        <v>6</v>
      </c>
      <c r="L406">
        <v>6</v>
      </c>
      <c r="M406">
        <v>7</v>
      </c>
      <c r="N406">
        <v>5</v>
      </c>
      <c r="O406">
        <v>7</v>
      </c>
      <c r="P406">
        <v>9</v>
      </c>
      <c r="Q406">
        <v>7</v>
      </c>
      <c r="R406">
        <v>6</v>
      </c>
      <c r="S406">
        <v>3</v>
      </c>
      <c r="T406">
        <v>7</v>
      </c>
      <c r="U406">
        <v>6</v>
      </c>
      <c r="V406">
        <v>112</v>
      </c>
      <c r="W406">
        <v>1</v>
      </c>
      <c r="X406" t="s">
        <v>69</v>
      </c>
      <c r="Y406">
        <v>4</v>
      </c>
    </row>
    <row r="407" spans="1:25" x14ac:dyDescent="0.25">
      <c r="A407" t="s">
        <v>53</v>
      </c>
      <c r="B407">
        <v>40</v>
      </c>
      <c r="C407">
        <v>1</v>
      </c>
      <c r="D407">
        <v>11</v>
      </c>
      <c r="E407">
        <v>5</v>
      </c>
      <c r="F407">
        <v>5</v>
      </c>
      <c r="G407">
        <v>4</v>
      </c>
      <c r="H407">
        <v>5</v>
      </c>
      <c r="I407">
        <v>7</v>
      </c>
      <c r="J407">
        <v>6</v>
      </c>
      <c r="K407">
        <v>6</v>
      </c>
      <c r="L407">
        <v>6</v>
      </c>
      <c r="M407">
        <v>7</v>
      </c>
      <c r="N407">
        <v>5</v>
      </c>
      <c r="O407">
        <v>7</v>
      </c>
      <c r="P407">
        <v>9</v>
      </c>
      <c r="Q407">
        <v>7</v>
      </c>
      <c r="R407">
        <v>6</v>
      </c>
      <c r="S407">
        <v>3</v>
      </c>
      <c r="T407">
        <v>7</v>
      </c>
      <c r="U407">
        <v>6</v>
      </c>
      <c r="V407">
        <v>112</v>
      </c>
      <c r="W407">
        <v>1</v>
      </c>
      <c r="X407" t="s">
        <v>89</v>
      </c>
      <c r="Y407">
        <v>2</v>
      </c>
    </row>
    <row r="408" spans="1:25" x14ac:dyDescent="0.25">
      <c r="A408" t="s">
        <v>45</v>
      </c>
      <c r="B408">
        <v>36</v>
      </c>
      <c r="C408">
        <v>2</v>
      </c>
      <c r="D408">
        <v>6</v>
      </c>
      <c r="E408">
        <v>7</v>
      </c>
      <c r="F408">
        <v>6</v>
      </c>
      <c r="G408">
        <v>4</v>
      </c>
      <c r="H408">
        <v>5</v>
      </c>
      <c r="I408">
        <v>7</v>
      </c>
      <c r="J408">
        <v>5</v>
      </c>
      <c r="K408">
        <v>7</v>
      </c>
      <c r="L408">
        <v>5</v>
      </c>
      <c r="M408">
        <v>7</v>
      </c>
      <c r="N408">
        <v>5</v>
      </c>
      <c r="O408">
        <v>6</v>
      </c>
      <c r="P408">
        <v>8</v>
      </c>
      <c r="Q408">
        <v>8</v>
      </c>
      <c r="R408">
        <v>9</v>
      </c>
      <c r="S408">
        <v>5</v>
      </c>
      <c r="T408">
        <v>7</v>
      </c>
      <c r="U408">
        <v>6</v>
      </c>
      <c r="V408">
        <v>113</v>
      </c>
      <c r="W408">
        <v>6</v>
      </c>
      <c r="X408" t="s">
        <v>66</v>
      </c>
      <c r="Y408">
        <v>0</v>
      </c>
    </row>
    <row r="409" spans="1:25" x14ac:dyDescent="0.25">
      <c r="A409" t="s">
        <v>45</v>
      </c>
      <c r="B409">
        <v>36</v>
      </c>
      <c r="C409">
        <v>2</v>
      </c>
      <c r="D409">
        <v>6</v>
      </c>
      <c r="E409">
        <v>7</v>
      </c>
      <c r="F409">
        <v>6</v>
      </c>
      <c r="G409">
        <v>4</v>
      </c>
      <c r="H409">
        <v>5</v>
      </c>
      <c r="I409">
        <v>7</v>
      </c>
      <c r="J409">
        <v>5</v>
      </c>
      <c r="K409">
        <v>7</v>
      </c>
      <c r="L409">
        <v>5</v>
      </c>
      <c r="M409">
        <v>7</v>
      </c>
      <c r="N409">
        <v>5</v>
      </c>
      <c r="O409">
        <v>6</v>
      </c>
      <c r="P409">
        <v>8</v>
      </c>
      <c r="Q409">
        <v>8</v>
      </c>
      <c r="R409">
        <v>9</v>
      </c>
      <c r="S409">
        <v>5</v>
      </c>
      <c r="T409">
        <v>7</v>
      </c>
      <c r="U409">
        <v>6</v>
      </c>
      <c r="V409">
        <v>113</v>
      </c>
      <c r="W409">
        <v>6</v>
      </c>
      <c r="X409" t="s">
        <v>65</v>
      </c>
      <c r="Y409">
        <v>0</v>
      </c>
    </row>
    <row r="410" spans="1:25" x14ac:dyDescent="0.25">
      <c r="A410" t="s">
        <v>45</v>
      </c>
      <c r="B410">
        <v>36</v>
      </c>
      <c r="C410">
        <v>2</v>
      </c>
      <c r="D410">
        <v>6</v>
      </c>
      <c r="E410">
        <v>7</v>
      </c>
      <c r="F410">
        <v>6</v>
      </c>
      <c r="G410">
        <v>4</v>
      </c>
      <c r="H410">
        <v>5</v>
      </c>
      <c r="I410">
        <v>7</v>
      </c>
      <c r="J410">
        <v>5</v>
      </c>
      <c r="K410">
        <v>7</v>
      </c>
      <c r="L410">
        <v>5</v>
      </c>
      <c r="M410">
        <v>7</v>
      </c>
      <c r="N410">
        <v>5</v>
      </c>
      <c r="O410">
        <v>6</v>
      </c>
      <c r="P410">
        <v>8</v>
      </c>
      <c r="Q410">
        <v>8</v>
      </c>
      <c r="R410">
        <v>9</v>
      </c>
      <c r="S410">
        <v>5</v>
      </c>
      <c r="T410">
        <v>7</v>
      </c>
      <c r="U410">
        <v>6</v>
      </c>
      <c r="V410">
        <v>113</v>
      </c>
      <c r="W410">
        <v>6</v>
      </c>
      <c r="X410" t="s">
        <v>64</v>
      </c>
      <c r="Y410">
        <v>0</v>
      </c>
    </row>
    <row r="411" spans="1:25" x14ac:dyDescent="0.25">
      <c r="A411" t="s">
        <v>45</v>
      </c>
      <c r="B411">
        <v>36</v>
      </c>
      <c r="C411">
        <v>2</v>
      </c>
      <c r="D411">
        <v>6</v>
      </c>
      <c r="E411">
        <v>7</v>
      </c>
      <c r="F411">
        <v>6</v>
      </c>
      <c r="G411">
        <v>4</v>
      </c>
      <c r="H411">
        <v>5</v>
      </c>
      <c r="I411">
        <v>7</v>
      </c>
      <c r="J411">
        <v>5</v>
      </c>
      <c r="K411">
        <v>7</v>
      </c>
      <c r="L411">
        <v>5</v>
      </c>
      <c r="M411">
        <v>7</v>
      </c>
      <c r="N411">
        <v>5</v>
      </c>
      <c r="O411">
        <v>6</v>
      </c>
      <c r="P411">
        <v>8</v>
      </c>
      <c r="Q411">
        <v>8</v>
      </c>
      <c r="R411">
        <v>9</v>
      </c>
      <c r="S411">
        <v>5</v>
      </c>
      <c r="T411">
        <v>7</v>
      </c>
      <c r="U411">
        <v>6</v>
      </c>
      <c r="V411">
        <v>113</v>
      </c>
      <c r="W411">
        <v>6</v>
      </c>
      <c r="X411" t="s">
        <v>67</v>
      </c>
      <c r="Y411">
        <v>4</v>
      </c>
    </row>
    <row r="412" spans="1:25" x14ac:dyDescent="0.25">
      <c r="A412" t="s">
        <v>45</v>
      </c>
      <c r="B412">
        <v>36</v>
      </c>
      <c r="C412">
        <v>2</v>
      </c>
      <c r="D412">
        <v>6</v>
      </c>
      <c r="E412">
        <v>7</v>
      </c>
      <c r="F412">
        <v>6</v>
      </c>
      <c r="G412">
        <v>4</v>
      </c>
      <c r="H412">
        <v>5</v>
      </c>
      <c r="I412">
        <v>7</v>
      </c>
      <c r="J412">
        <v>5</v>
      </c>
      <c r="K412">
        <v>7</v>
      </c>
      <c r="L412">
        <v>5</v>
      </c>
      <c r="M412">
        <v>7</v>
      </c>
      <c r="N412">
        <v>5</v>
      </c>
      <c r="O412">
        <v>6</v>
      </c>
      <c r="P412">
        <v>8</v>
      </c>
      <c r="Q412">
        <v>8</v>
      </c>
      <c r="R412">
        <v>9</v>
      </c>
      <c r="S412">
        <v>5</v>
      </c>
      <c r="T412">
        <v>7</v>
      </c>
      <c r="U412">
        <v>6</v>
      </c>
      <c r="V412">
        <v>113</v>
      </c>
      <c r="W412">
        <v>6</v>
      </c>
      <c r="X412" t="s">
        <v>88</v>
      </c>
      <c r="Y412">
        <v>7</v>
      </c>
    </row>
    <row r="413" spans="1:25" x14ac:dyDescent="0.25">
      <c r="A413" t="s">
        <v>45</v>
      </c>
      <c r="B413">
        <v>36</v>
      </c>
      <c r="C413">
        <v>2</v>
      </c>
      <c r="D413">
        <v>6</v>
      </c>
      <c r="E413">
        <v>7</v>
      </c>
      <c r="F413">
        <v>6</v>
      </c>
      <c r="G413">
        <v>4</v>
      </c>
      <c r="H413">
        <v>5</v>
      </c>
      <c r="I413">
        <v>7</v>
      </c>
      <c r="J413">
        <v>5</v>
      </c>
      <c r="K413">
        <v>7</v>
      </c>
      <c r="L413">
        <v>5</v>
      </c>
      <c r="M413">
        <v>7</v>
      </c>
      <c r="N413">
        <v>5</v>
      </c>
      <c r="O413">
        <v>6</v>
      </c>
      <c r="P413">
        <v>8</v>
      </c>
      <c r="Q413">
        <v>8</v>
      </c>
      <c r="R413">
        <v>9</v>
      </c>
      <c r="S413">
        <v>5</v>
      </c>
      <c r="T413">
        <v>7</v>
      </c>
      <c r="U413">
        <v>6</v>
      </c>
      <c r="V413">
        <v>113</v>
      </c>
      <c r="W413">
        <v>6</v>
      </c>
      <c r="X413" t="s">
        <v>69</v>
      </c>
      <c r="Y413">
        <v>5</v>
      </c>
    </row>
    <row r="414" spans="1:25" x14ac:dyDescent="0.25">
      <c r="A414" t="s">
        <v>45</v>
      </c>
      <c r="B414">
        <v>36</v>
      </c>
      <c r="C414">
        <v>2</v>
      </c>
      <c r="D414">
        <v>6</v>
      </c>
      <c r="E414">
        <v>7</v>
      </c>
      <c r="F414">
        <v>6</v>
      </c>
      <c r="G414">
        <v>4</v>
      </c>
      <c r="H414">
        <v>5</v>
      </c>
      <c r="I414">
        <v>7</v>
      </c>
      <c r="J414">
        <v>5</v>
      </c>
      <c r="K414">
        <v>7</v>
      </c>
      <c r="L414">
        <v>5</v>
      </c>
      <c r="M414">
        <v>7</v>
      </c>
      <c r="N414">
        <v>5</v>
      </c>
      <c r="O414">
        <v>6</v>
      </c>
      <c r="P414">
        <v>8</v>
      </c>
      <c r="Q414">
        <v>8</v>
      </c>
      <c r="R414">
        <v>9</v>
      </c>
      <c r="S414">
        <v>5</v>
      </c>
      <c r="T414">
        <v>7</v>
      </c>
      <c r="U414">
        <v>6</v>
      </c>
      <c r="V414">
        <v>113</v>
      </c>
      <c r="W414">
        <v>6</v>
      </c>
      <c r="X414" t="s">
        <v>89</v>
      </c>
      <c r="Y414">
        <v>2</v>
      </c>
    </row>
    <row r="415" spans="1:25" x14ac:dyDescent="0.25">
      <c r="A415" t="s">
        <v>45</v>
      </c>
      <c r="B415">
        <v>36</v>
      </c>
      <c r="C415">
        <v>1</v>
      </c>
      <c r="D415">
        <v>7</v>
      </c>
      <c r="E415">
        <v>6</v>
      </c>
      <c r="F415">
        <v>6</v>
      </c>
      <c r="G415">
        <v>5</v>
      </c>
      <c r="H415">
        <v>6</v>
      </c>
      <c r="I415">
        <v>7</v>
      </c>
      <c r="J415">
        <v>5</v>
      </c>
      <c r="K415">
        <v>9</v>
      </c>
      <c r="L415">
        <v>6</v>
      </c>
      <c r="M415">
        <v>6</v>
      </c>
      <c r="N415">
        <v>4</v>
      </c>
      <c r="O415">
        <v>6</v>
      </c>
      <c r="P415">
        <v>8</v>
      </c>
      <c r="Q415">
        <v>10</v>
      </c>
      <c r="R415">
        <v>6</v>
      </c>
      <c r="S415">
        <v>5</v>
      </c>
      <c r="T415">
        <v>7</v>
      </c>
      <c r="U415">
        <v>7</v>
      </c>
      <c r="V415">
        <v>116</v>
      </c>
      <c r="W415">
        <v>9</v>
      </c>
      <c r="X415" t="s">
        <v>66</v>
      </c>
      <c r="Y415">
        <v>0</v>
      </c>
    </row>
    <row r="416" spans="1:25" x14ac:dyDescent="0.25">
      <c r="A416" t="s">
        <v>45</v>
      </c>
      <c r="B416">
        <v>36</v>
      </c>
      <c r="C416">
        <v>1</v>
      </c>
      <c r="D416">
        <v>7</v>
      </c>
      <c r="E416">
        <v>6</v>
      </c>
      <c r="F416">
        <v>6</v>
      </c>
      <c r="G416">
        <v>5</v>
      </c>
      <c r="H416">
        <v>6</v>
      </c>
      <c r="I416">
        <v>7</v>
      </c>
      <c r="J416">
        <v>5</v>
      </c>
      <c r="K416">
        <v>9</v>
      </c>
      <c r="L416">
        <v>6</v>
      </c>
      <c r="M416">
        <v>6</v>
      </c>
      <c r="N416">
        <v>4</v>
      </c>
      <c r="O416">
        <v>6</v>
      </c>
      <c r="P416">
        <v>8</v>
      </c>
      <c r="Q416">
        <v>10</v>
      </c>
      <c r="R416">
        <v>6</v>
      </c>
      <c r="S416">
        <v>5</v>
      </c>
      <c r="T416">
        <v>7</v>
      </c>
      <c r="U416">
        <v>7</v>
      </c>
      <c r="V416">
        <v>116</v>
      </c>
      <c r="W416">
        <v>9</v>
      </c>
      <c r="X416" t="s">
        <v>65</v>
      </c>
      <c r="Y416">
        <v>0</v>
      </c>
    </row>
    <row r="417" spans="1:25" x14ac:dyDescent="0.25">
      <c r="A417" t="s">
        <v>45</v>
      </c>
      <c r="B417">
        <v>36</v>
      </c>
      <c r="C417">
        <v>1</v>
      </c>
      <c r="D417">
        <v>7</v>
      </c>
      <c r="E417">
        <v>6</v>
      </c>
      <c r="F417">
        <v>6</v>
      </c>
      <c r="G417">
        <v>5</v>
      </c>
      <c r="H417">
        <v>6</v>
      </c>
      <c r="I417">
        <v>7</v>
      </c>
      <c r="J417">
        <v>5</v>
      </c>
      <c r="K417">
        <v>9</v>
      </c>
      <c r="L417">
        <v>6</v>
      </c>
      <c r="M417">
        <v>6</v>
      </c>
      <c r="N417">
        <v>4</v>
      </c>
      <c r="O417">
        <v>6</v>
      </c>
      <c r="P417">
        <v>8</v>
      </c>
      <c r="Q417">
        <v>10</v>
      </c>
      <c r="R417">
        <v>6</v>
      </c>
      <c r="S417">
        <v>5</v>
      </c>
      <c r="T417">
        <v>7</v>
      </c>
      <c r="U417">
        <v>7</v>
      </c>
      <c r="V417">
        <v>116</v>
      </c>
      <c r="W417">
        <v>9</v>
      </c>
      <c r="X417" t="s">
        <v>64</v>
      </c>
      <c r="Y417">
        <v>0</v>
      </c>
    </row>
    <row r="418" spans="1:25" x14ac:dyDescent="0.25">
      <c r="A418" t="s">
        <v>45</v>
      </c>
      <c r="B418">
        <v>36</v>
      </c>
      <c r="C418">
        <v>1</v>
      </c>
      <c r="D418">
        <v>7</v>
      </c>
      <c r="E418">
        <v>6</v>
      </c>
      <c r="F418">
        <v>6</v>
      </c>
      <c r="G418">
        <v>5</v>
      </c>
      <c r="H418">
        <v>6</v>
      </c>
      <c r="I418">
        <v>7</v>
      </c>
      <c r="J418">
        <v>5</v>
      </c>
      <c r="K418">
        <v>9</v>
      </c>
      <c r="L418">
        <v>6</v>
      </c>
      <c r="M418">
        <v>6</v>
      </c>
      <c r="N418">
        <v>4</v>
      </c>
      <c r="O418">
        <v>6</v>
      </c>
      <c r="P418">
        <v>8</v>
      </c>
      <c r="Q418">
        <v>10</v>
      </c>
      <c r="R418">
        <v>6</v>
      </c>
      <c r="S418">
        <v>5</v>
      </c>
      <c r="T418">
        <v>7</v>
      </c>
      <c r="U418">
        <v>7</v>
      </c>
      <c r="V418">
        <v>116</v>
      </c>
      <c r="W418">
        <v>9</v>
      </c>
      <c r="X418" t="s">
        <v>67</v>
      </c>
      <c r="Y418">
        <v>1</v>
      </c>
    </row>
    <row r="419" spans="1:25" x14ac:dyDescent="0.25">
      <c r="A419" t="s">
        <v>45</v>
      </c>
      <c r="B419">
        <v>36</v>
      </c>
      <c r="C419">
        <v>1</v>
      </c>
      <c r="D419">
        <v>7</v>
      </c>
      <c r="E419">
        <v>6</v>
      </c>
      <c r="F419">
        <v>6</v>
      </c>
      <c r="G419">
        <v>5</v>
      </c>
      <c r="H419">
        <v>6</v>
      </c>
      <c r="I419">
        <v>7</v>
      </c>
      <c r="J419">
        <v>5</v>
      </c>
      <c r="K419">
        <v>9</v>
      </c>
      <c r="L419">
        <v>6</v>
      </c>
      <c r="M419">
        <v>6</v>
      </c>
      <c r="N419">
        <v>4</v>
      </c>
      <c r="O419">
        <v>6</v>
      </c>
      <c r="P419">
        <v>8</v>
      </c>
      <c r="Q419">
        <v>10</v>
      </c>
      <c r="R419">
        <v>6</v>
      </c>
      <c r="S419">
        <v>5</v>
      </c>
      <c r="T419">
        <v>7</v>
      </c>
      <c r="U419">
        <v>7</v>
      </c>
      <c r="V419">
        <v>116</v>
      </c>
      <c r="W419">
        <v>9</v>
      </c>
      <c r="X419" t="s">
        <v>88</v>
      </c>
      <c r="Y419">
        <v>12</v>
      </c>
    </row>
    <row r="420" spans="1:25" x14ac:dyDescent="0.25">
      <c r="A420" t="s">
        <v>45</v>
      </c>
      <c r="B420">
        <v>36</v>
      </c>
      <c r="C420">
        <v>1</v>
      </c>
      <c r="D420">
        <v>7</v>
      </c>
      <c r="E420">
        <v>6</v>
      </c>
      <c r="F420">
        <v>6</v>
      </c>
      <c r="G420">
        <v>5</v>
      </c>
      <c r="H420">
        <v>6</v>
      </c>
      <c r="I420">
        <v>7</v>
      </c>
      <c r="J420">
        <v>5</v>
      </c>
      <c r="K420">
        <v>9</v>
      </c>
      <c r="L420">
        <v>6</v>
      </c>
      <c r="M420">
        <v>6</v>
      </c>
      <c r="N420">
        <v>4</v>
      </c>
      <c r="O420">
        <v>6</v>
      </c>
      <c r="P420">
        <v>8</v>
      </c>
      <c r="Q420">
        <v>10</v>
      </c>
      <c r="R420">
        <v>6</v>
      </c>
      <c r="S420">
        <v>5</v>
      </c>
      <c r="T420">
        <v>7</v>
      </c>
      <c r="U420">
        <v>7</v>
      </c>
      <c r="V420">
        <v>116</v>
      </c>
      <c r="W420">
        <v>9</v>
      </c>
      <c r="X420" t="s">
        <v>69</v>
      </c>
      <c r="Y420">
        <v>2</v>
      </c>
    </row>
    <row r="421" spans="1:25" x14ac:dyDescent="0.25">
      <c r="A421" t="s">
        <v>45</v>
      </c>
      <c r="B421">
        <v>36</v>
      </c>
      <c r="C421">
        <v>1</v>
      </c>
      <c r="D421">
        <v>7</v>
      </c>
      <c r="E421">
        <v>6</v>
      </c>
      <c r="F421">
        <v>6</v>
      </c>
      <c r="G421">
        <v>5</v>
      </c>
      <c r="H421">
        <v>6</v>
      </c>
      <c r="I421">
        <v>7</v>
      </c>
      <c r="J421">
        <v>5</v>
      </c>
      <c r="K421">
        <v>9</v>
      </c>
      <c r="L421">
        <v>6</v>
      </c>
      <c r="M421">
        <v>6</v>
      </c>
      <c r="N421">
        <v>4</v>
      </c>
      <c r="O421">
        <v>6</v>
      </c>
      <c r="P421">
        <v>8</v>
      </c>
      <c r="Q421">
        <v>10</v>
      </c>
      <c r="R421">
        <v>6</v>
      </c>
      <c r="S421">
        <v>5</v>
      </c>
      <c r="T421">
        <v>7</v>
      </c>
      <c r="U421">
        <v>7</v>
      </c>
      <c r="V421">
        <v>116</v>
      </c>
      <c r="W421">
        <v>9</v>
      </c>
      <c r="X421" t="s">
        <v>89</v>
      </c>
      <c r="Y421">
        <v>3</v>
      </c>
    </row>
  </sheetData>
  <phoneticPr fontId="2" type="noConversion"/>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E5DD-BC7F-4B7A-8320-4A962C8040D0}">
  <dimension ref="A3:J12"/>
  <sheetViews>
    <sheetView workbookViewId="0">
      <selection activeCell="E3" sqref="E3"/>
    </sheetView>
  </sheetViews>
  <sheetFormatPr defaultRowHeight="15" x14ac:dyDescent="0.25"/>
  <cols>
    <col min="1" max="1" width="13.42578125" bestFit="1" customWidth="1"/>
    <col min="2" max="2" width="12.140625" bestFit="1" customWidth="1"/>
    <col min="3" max="3" width="24.42578125" bestFit="1" customWidth="1"/>
    <col min="5" max="5" width="13.42578125" bestFit="1" customWidth="1"/>
    <col min="6" max="6" width="12.7109375" bestFit="1" customWidth="1"/>
  </cols>
  <sheetData>
    <row r="3" spans="1:10" x14ac:dyDescent="0.25">
      <c r="A3" s="2" t="s">
        <v>87</v>
      </c>
      <c r="B3" t="s">
        <v>107</v>
      </c>
      <c r="C3" t="s">
        <v>106</v>
      </c>
      <c r="E3" s="2" t="s">
        <v>87</v>
      </c>
      <c r="F3" t="s">
        <v>101</v>
      </c>
      <c r="J3" t="s">
        <v>108</v>
      </c>
    </row>
    <row r="4" spans="1:10" x14ac:dyDescent="0.25">
      <c r="A4" s="3" t="s">
        <v>33</v>
      </c>
      <c r="B4">
        <v>20</v>
      </c>
      <c r="C4">
        <v>3</v>
      </c>
      <c r="E4" s="3" t="s">
        <v>33</v>
      </c>
      <c r="J4" t="str">
        <f>CONCATENATE("Score to Handicap: ", C4)</f>
        <v>Score to Handicap: 3</v>
      </c>
    </row>
    <row r="5" spans="1:10" x14ac:dyDescent="0.25">
      <c r="A5" s="3" t="s">
        <v>57</v>
      </c>
      <c r="B5">
        <v>20</v>
      </c>
      <c r="C5">
        <v>3</v>
      </c>
      <c r="E5" s="18" t="s">
        <v>64</v>
      </c>
      <c r="F5">
        <v>0</v>
      </c>
      <c r="J5" t="str">
        <f>CONCATENATE("Tournament Finishing Rank: ", B4)</f>
        <v>Tournament Finishing Rank: 20</v>
      </c>
    </row>
    <row r="6" spans="1:10" x14ac:dyDescent="0.25">
      <c r="E6" s="18" t="s">
        <v>65</v>
      </c>
      <c r="F6">
        <v>2</v>
      </c>
    </row>
    <row r="7" spans="1:10" x14ac:dyDescent="0.25">
      <c r="E7" s="18" t="s">
        <v>66</v>
      </c>
      <c r="F7">
        <v>7</v>
      </c>
    </row>
    <row r="8" spans="1:10" x14ac:dyDescent="0.25">
      <c r="E8" s="18" t="s">
        <v>67</v>
      </c>
      <c r="F8">
        <v>7</v>
      </c>
    </row>
    <row r="9" spans="1:10" x14ac:dyDescent="0.25">
      <c r="E9" s="18" t="s">
        <v>88</v>
      </c>
      <c r="F9">
        <v>2</v>
      </c>
    </row>
    <row r="10" spans="1:10" x14ac:dyDescent="0.25">
      <c r="E10" s="18" t="s">
        <v>69</v>
      </c>
      <c r="F10">
        <v>0</v>
      </c>
    </row>
    <row r="11" spans="1:10" x14ac:dyDescent="0.25">
      <c r="E11" s="18" t="s">
        <v>89</v>
      </c>
      <c r="F11">
        <v>0</v>
      </c>
    </row>
    <row r="12" spans="1:10" x14ac:dyDescent="0.25">
      <c r="E12" s="3" t="s">
        <v>57</v>
      </c>
      <c r="F12">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07B9-CFE0-4C3D-93D7-994D369C1BA5}">
  <dimension ref="A1:CD389"/>
  <sheetViews>
    <sheetView topLeftCell="B1" zoomScale="87" workbookViewId="0">
      <selection activeCell="AE60" sqref="AE60"/>
    </sheetView>
  </sheetViews>
  <sheetFormatPr defaultRowHeight="15" x14ac:dyDescent="0.25"/>
  <cols>
    <col min="2" max="2" width="11.5703125" customWidth="1"/>
    <col min="3" max="3" width="11.28515625" customWidth="1"/>
    <col min="13" max="21" width="9.85546875" customWidth="1"/>
    <col min="25" max="25" width="8.28515625" bestFit="1" customWidth="1"/>
    <col min="26" max="26" width="8.7109375" bestFit="1" customWidth="1"/>
    <col min="27" max="27" width="6.28515625" bestFit="1" customWidth="1"/>
    <col min="28" max="28" width="8.85546875" bestFit="1" customWidth="1"/>
    <col min="29" max="29" width="16" bestFit="1" customWidth="1"/>
    <col min="30" max="30" width="8.5703125" bestFit="1" customWidth="1"/>
    <col min="31" max="31" width="9.28515625" bestFit="1" customWidth="1"/>
    <col min="32" max="32" width="18.85546875" bestFit="1" customWidth="1"/>
    <col min="33" max="33" width="13.85546875" bestFit="1" customWidth="1"/>
    <col min="34" max="34" width="11.85546875" bestFit="1" customWidth="1"/>
    <col min="35" max="35" width="13.7109375" bestFit="1" customWidth="1"/>
    <col min="36" max="36" width="23.28515625" bestFit="1" customWidth="1"/>
    <col min="37" max="38" width="17" bestFit="1" customWidth="1"/>
    <col min="39" max="39" width="13.7109375" bestFit="1" customWidth="1"/>
    <col min="40" max="40" width="14.140625" bestFit="1" customWidth="1"/>
    <col min="41" max="41" width="13.7109375" bestFit="1" customWidth="1"/>
    <col min="42" max="42" width="14.28515625" bestFit="1" customWidth="1"/>
    <col min="43" max="43" width="15.42578125" bestFit="1" customWidth="1"/>
    <col min="44" max="44" width="14" bestFit="1" customWidth="1"/>
    <col min="45" max="45" width="14.5703125" bestFit="1" customWidth="1"/>
    <col min="46" max="46" width="5.28515625" bestFit="1" customWidth="1"/>
    <col min="47" max="55" width="6.5703125" bestFit="1" customWidth="1"/>
    <col min="56" max="57" width="6.85546875" bestFit="1" customWidth="1"/>
    <col min="58" max="58" width="3.85546875" bestFit="1" customWidth="1"/>
    <col min="59" max="60" width="6.85546875" bestFit="1" customWidth="1"/>
    <col min="61" max="61" width="3.85546875" bestFit="1" customWidth="1"/>
    <col min="62" max="63" width="6.85546875" bestFit="1" customWidth="1"/>
    <col min="64" max="64" width="4.85546875" bestFit="1" customWidth="1"/>
    <col min="65" max="65" width="6.85546875" bestFit="1" customWidth="1"/>
    <col min="66" max="66" width="7.85546875" bestFit="1" customWidth="1"/>
    <col min="67" max="67" width="4.85546875" bestFit="1" customWidth="1"/>
    <col min="68" max="68" width="6.85546875" bestFit="1" customWidth="1"/>
    <col min="69" max="69" width="7.85546875" bestFit="1" customWidth="1"/>
    <col min="70" max="70" width="4.85546875" bestFit="1" customWidth="1"/>
    <col min="71" max="72" width="13.7109375" bestFit="1" customWidth="1"/>
    <col min="73" max="73" width="27.140625" bestFit="1" customWidth="1"/>
    <col min="74" max="75" width="12.140625" bestFit="1" customWidth="1"/>
    <col min="76" max="76" width="13.7109375" bestFit="1" customWidth="1"/>
    <col min="77" max="77" width="24.42578125" bestFit="1" customWidth="1"/>
    <col min="78" max="78" width="12.140625" bestFit="1" customWidth="1"/>
    <col min="79" max="79" width="13.7109375" bestFit="1" customWidth="1"/>
    <col min="80" max="80" width="24.42578125" bestFit="1" customWidth="1"/>
    <col min="81" max="81" width="12.140625" bestFit="1" customWidth="1"/>
    <col min="82" max="82" width="12.7109375" bestFit="1" customWidth="1"/>
    <col min="83" max="83" width="6.85546875" bestFit="1" customWidth="1"/>
    <col min="84" max="84" width="7.85546875" bestFit="1" customWidth="1"/>
    <col min="85" max="85" width="4.85546875" bestFit="1" customWidth="1"/>
    <col min="86" max="86" width="6.85546875" bestFit="1" customWidth="1"/>
    <col min="87" max="87" width="7.85546875" bestFit="1" customWidth="1"/>
    <col min="88" max="88" width="4.85546875" bestFit="1" customWidth="1"/>
    <col min="89" max="89" width="6.85546875" bestFit="1" customWidth="1"/>
    <col min="90" max="90" width="7.85546875" bestFit="1" customWidth="1"/>
    <col min="91" max="91" width="11.28515625"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42" x14ac:dyDescent="0.25">
      <c r="A2" t="s">
        <v>53</v>
      </c>
      <c r="B2">
        <v>40</v>
      </c>
      <c r="C2">
        <v>1</v>
      </c>
      <c r="D2">
        <v>11</v>
      </c>
      <c r="E2">
        <v>5</v>
      </c>
      <c r="F2">
        <v>5</v>
      </c>
      <c r="G2">
        <v>4</v>
      </c>
      <c r="H2">
        <v>5</v>
      </c>
      <c r="I2">
        <v>7</v>
      </c>
      <c r="J2">
        <v>6</v>
      </c>
      <c r="K2">
        <v>6</v>
      </c>
      <c r="L2">
        <v>6</v>
      </c>
      <c r="M2">
        <v>7</v>
      </c>
      <c r="N2">
        <v>5</v>
      </c>
      <c r="O2">
        <v>7</v>
      </c>
      <c r="P2">
        <v>9</v>
      </c>
      <c r="Q2">
        <v>7</v>
      </c>
      <c r="R2">
        <v>6</v>
      </c>
      <c r="S2">
        <v>3</v>
      </c>
      <c r="T2">
        <v>7</v>
      </c>
      <c r="U2">
        <v>6</v>
      </c>
      <c r="V2">
        <f t="shared" ref="V2:V33" si="0">SUM(D2:U2)</f>
        <v>112</v>
      </c>
      <c r="X2" t="s">
        <v>60</v>
      </c>
      <c r="Y2" t="s">
        <v>54</v>
      </c>
      <c r="Z2" t="s">
        <v>61</v>
      </c>
      <c r="AA2" t="s">
        <v>62</v>
      </c>
      <c r="AB2" t="s">
        <v>63</v>
      </c>
      <c r="AC2" t="s">
        <v>64</v>
      </c>
      <c r="AD2" t="s">
        <v>65</v>
      </c>
      <c r="AE2" t="s">
        <v>66</v>
      </c>
      <c r="AF2" t="s">
        <v>67</v>
      </c>
      <c r="AG2" t="s">
        <v>68</v>
      </c>
      <c r="AH2" t="s">
        <v>69</v>
      </c>
      <c r="AI2" t="s">
        <v>70</v>
      </c>
      <c r="AJ2" t="s">
        <v>1</v>
      </c>
      <c r="AK2" t="s">
        <v>85</v>
      </c>
    </row>
    <row r="3" spans="1:42" x14ac:dyDescent="0.25">
      <c r="A3" t="s">
        <v>53</v>
      </c>
      <c r="B3">
        <v>40</v>
      </c>
      <c r="C3">
        <v>2</v>
      </c>
      <c r="D3">
        <v>7</v>
      </c>
      <c r="E3">
        <v>7</v>
      </c>
      <c r="F3">
        <v>6</v>
      </c>
      <c r="G3">
        <v>5</v>
      </c>
      <c r="H3">
        <v>6</v>
      </c>
      <c r="I3">
        <v>6</v>
      </c>
      <c r="J3">
        <v>4</v>
      </c>
      <c r="K3">
        <v>4</v>
      </c>
      <c r="L3">
        <v>7</v>
      </c>
      <c r="M3">
        <v>8</v>
      </c>
      <c r="N3">
        <v>3</v>
      </c>
      <c r="O3">
        <v>6</v>
      </c>
      <c r="P3">
        <v>6</v>
      </c>
      <c r="Q3">
        <v>7</v>
      </c>
      <c r="R3">
        <v>7</v>
      </c>
      <c r="S3">
        <v>3</v>
      </c>
      <c r="T3">
        <v>7</v>
      </c>
      <c r="U3">
        <v>7</v>
      </c>
      <c r="V3">
        <f t="shared" si="0"/>
        <v>106</v>
      </c>
      <c r="X3">
        <v>1</v>
      </c>
      <c r="Y3">
        <v>5</v>
      </c>
      <c r="Z3">
        <f>AVERAGE(D$2:D$61)</f>
        <v>6.05</v>
      </c>
      <c r="AA3">
        <f>$Z3 - $Y3</f>
        <v>1.0499999999999998</v>
      </c>
      <c r="AB3">
        <f>MAX(D2:D61)</f>
        <v>11</v>
      </c>
      <c r="AC3">
        <f>COUNTIF(INDEX($D$2:$Z$61, 0, ROW(A1)), $Y3 - 2)</f>
        <v>0</v>
      </c>
      <c r="AD3">
        <f>COUNTIF(INDEX($D$2:$Z$61, 0, ROW(A1)), $Y3 - 1)</f>
        <v>3</v>
      </c>
      <c r="AE3">
        <f>COUNTIF(INDEX($D$2:$Z$61, 0, ROW(A1)), $Y3)</f>
        <v>20</v>
      </c>
      <c r="AF3">
        <f>COUNTIF(INDEX($D$2:$Z$61, 0, ROW(A1)), $Y3 + 1)</f>
        <v>22</v>
      </c>
      <c r="AG3">
        <f>COUNTIF(INDEX($D$2:$Z$61, 0, ROW(A1)), $Y3 + 2)</f>
        <v>9</v>
      </c>
      <c r="AH3">
        <f>COUNTIF(INDEX($D$2:$Z$61, 0, ROW(A1)), $Y3 +3)</f>
        <v>1</v>
      </c>
      <c r="AI3" cm="1">
        <f t="array" ref="AI3">SUMPRODUCT(--(INDEX($D$2:$Z$61, 0, ROW(A1)) &gt;= ($Y3 + 4)))</f>
        <v>5</v>
      </c>
      <c r="AJ3">
        <v>5</v>
      </c>
      <c r="AK3">
        <v>10</v>
      </c>
    </row>
    <row r="4" spans="1:42" x14ac:dyDescent="0.25">
      <c r="A4" t="s">
        <v>45</v>
      </c>
      <c r="B4">
        <v>36</v>
      </c>
      <c r="C4">
        <v>1</v>
      </c>
      <c r="D4">
        <v>7</v>
      </c>
      <c r="E4">
        <v>6</v>
      </c>
      <c r="F4">
        <v>6</v>
      </c>
      <c r="G4">
        <v>5</v>
      </c>
      <c r="H4">
        <v>6</v>
      </c>
      <c r="I4">
        <v>7</v>
      </c>
      <c r="J4">
        <v>5</v>
      </c>
      <c r="K4">
        <v>9</v>
      </c>
      <c r="L4">
        <v>6</v>
      </c>
      <c r="M4">
        <v>6</v>
      </c>
      <c r="N4">
        <v>4</v>
      </c>
      <c r="O4">
        <v>6</v>
      </c>
      <c r="P4">
        <v>8</v>
      </c>
      <c r="Q4">
        <v>10</v>
      </c>
      <c r="R4">
        <v>6</v>
      </c>
      <c r="S4">
        <v>5</v>
      </c>
      <c r="T4">
        <v>7</v>
      </c>
      <c r="U4">
        <v>7</v>
      </c>
      <c r="V4">
        <f t="shared" si="0"/>
        <v>116</v>
      </c>
      <c r="X4">
        <v>2</v>
      </c>
      <c r="Y4">
        <v>4</v>
      </c>
      <c r="Z4">
        <f>AVERAGE(E$2:E$61)</f>
        <v>5.4333333333333336</v>
      </c>
      <c r="AA4">
        <f t="shared" ref="AA4:AA20" si="1">$Z4 - $Y4</f>
        <v>1.4333333333333336</v>
      </c>
      <c r="AB4">
        <f>MAX(E2:E61)</f>
        <v>8</v>
      </c>
      <c r="AC4">
        <f t="shared" ref="AC4:AC20" si="2">COUNTIF(INDEX($D$2:$Z$61, 0, ROW(A2)), $Y4 - 2)</f>
        <v>0</v>
      </c>
      <c r="AD4">
        <f t="shared" ref="AD4:AD20" si="3">COUNTIF(INDEX($D$2:$Z$61, 0, ROW(A2)), $Y4 - 1)</f>
        <v>1</v>
      </c>
      <c r="AE4">
        <f t="shared" ref="AE4:AE20" si="4">COUNTIF(INDEX($D$2:$Z$61, 0, ROW(A2)), $Y4)</f>
        <v>12</v>
      </c>
      <c r="AF4">
        <f t="shared" ref="AF4:AF20" si="5">COUNTIF(INDEX($D$2:$Z$61, 0, ROW(A2)), $Y4 + 1)</f>
        <v>22</v>
      </c>
      <c r="AG4">
        <f t="shared" ref="AG4:AG20" si="6">COUNTIF(INDEX($D$2:$Z$61, 0, ROW(A2)), $Y4 + 2)</f>
        <v>14</v>
      </c>
      <c r="AH4">
        <f t="shared" ref="AH4:AH20" si="7">COUNTIF(INDEX($D$2:$Z$61, 0, ROW(A2)), $Y4 +3)</f>
        <v>7</v>
      </c>
      <c r="AI4" cm="1">
        <f t="array" ref="AI4">SUMPRODUCT(--(INDEX($D$2:$Z$61, 0, ROW(A2)) &gt;= ($Y4 + 4)))</f>
        <v>4</v>
      </c>
      <c r="AJ4">
        <v>7</v>
      </c>
      <c r="AK4">
        <v>4</v>
      </c>
    </row>
    <row r="5" spans="1:42" x14ac:dyDescent="0.25">
      <c r="A5" t="s">
        <v>45</v>
      </c>
      <c r="B5">
        <v>36</v>
      </c>
      <c r="C5">
        <v>2</v>
      </c>
      <c r="D5">
        <v>6</v>
      </c>
      <c r="E5">
        <v>7</v>
      </c>
      <c r="F5">
        <v>6</v>
      </c>
      <c r="G5">
        <v>4</v>
      </c>
      <c r="H5">
        <v>5</v>
      </c>
      <c r="I5">
        <v>7</v>
      </c>
      <c r="J5">
        <v>5</v>
      </c>
      <c r="K5">
        <v>7</v>
      </c>
      <c r="L5">
        <v>5</v>
      </c>
      <c r="M5">
        <v>7</v>
      </c>
      <c r="N5">
        <v>5</v>
      </c>
      <c r="O5">
        <v>6</v>
      </c>
      <c r="P5">
        <v>8</v>
      </c>
      <c r="Q5">
        <v>8</v>
      </c>
      <c r="R5">
        <v>9</v>
      </c>
      <c r="S5">
        <v>5</v>
      </c>
      <c r="T5">
        <v>7</v>
      </c>
      <c r="U5">
        <v>6</v>
      </c>
      <c r="V5">
        <f t="shared" si="0"/>
        <v>113</v>
      </c>
      <c r="X5">
        <v>3</v>
      </c>
      <c r="Y5">
        <v>4</v>
      </c>
      <c r="Z5">
        <f>AVERAGE(F$2:F$61)</f>
        <v>4.8499999999999996</v>
      </c>
      <c r="AA5">
        <f t="shared" si="1"/>
        <v>0.84999999999999964</v>
      </c>
      <c r="AB5">
        <f>MAX(F2:F61)</f>
        <v>7</v>
      </c>
      <c r="AC5">
        <f t="shared" si="2"/>
        <v>0</v>
      </c>
      <c r="AD5">
        <f t="shared" si="3"/>
        <v>2</v>
      </c>
      <c r="AE5">
        <f t="shared" si="4"/>
        <v>19</v>
      </c>
      <c r="AF5">
        <f t="shared" si="5"/>
        <v>27</v>
      </c>
      <c r="AG5">
        <f t="shared" si="6"/>
        <v>10</v>
      </c>
      <c r="AH5">
        <f t="shared" si="7"/>
        <v>2</v>
      </c>
      <c r="AI5" cm="1">
        <f t="array" ref="AI5">SUMPRODUCT(--(INDEX($D$2:$Z$61, 0, ROW(A3)) &gt;= ($Y5 + 4)))</f>
        <v>0</v>
      </c>
      <c r="AJ5">
        <v>13</v>
      </c>
      <c r="AK5">
        <v>15</v>
      </c>
    </row>
    <row r="6" spans="1:42" x14ac:dyDescent="0.25">
      <c r="A6" t="s">
        <v>52</v>
      </c>
      <c r="B6">
        <v>30</v>
      </c>
      <c r="C6">
        <v>1</v>
      </c>
      <c r="D6">
        <v>9</v>
      </c>
      <c r="E6">
        <v>6</v>
      </c>
      <c r="F6">
        <v>7</v>
      </c>
      <c r="G6">
        <v>6</v>
      </c>
      <c r="H6">
        <v>6</v>
      </c>
      <c r="I6">
        <v>7</v>
      </c>
      <c r="J6">
        <v>6</v>
      </c>
      <c r="K6">
        <v>4</v>
      </c>
      <c r="L6">
        <v>6</v>
      </c>
      <c r="M6">
        <v>6</v>
      </c>
      <c r="N6">
        <v>4</v>
      </c>
      <c r="O6">
        <v>6</v>
      </c>
      <c r="P6">
        <v>8</v>
      </c>
      <c r="Q6">
        <v>7</v>
      </c>
      <c r="R6">
        <v>6</v>
      </c>
      <c r="S6">
        <v>3</v>
      </c>
      <c r="T6">
        <v>8</v>
      </c>
      <c r="U6">
        <v>6</v>
      </c>
      <c r="V6">
        <f t="shared" si="0"/>
        <v>111</v>
      </c>
      <c r="X6">
        <v>4</v>
      </c>
      <c r="Y6">
        <v>3</v>
      </c>
      <c r="Z6">
        <f>AVERAGE(G$2:G$61)</f>
        <v>4.0333333333333332</v>
      </c>
      <c r="AA6">
        <f t="shared" si="1"/>
        <v>1.0333333333333332</v>
      </c>
      <c r="AB6">
        <f>MAX(G2:G61)</f>
        <v>6</v>
      </c>
      <c r="AC6">
        <f t="shared" si="2"/>
        <v>0</v>
      </c>
      <c r="AD6">
        <f t="shared" si="3"/>
        <v>1</v>
      </c>
      <c r="AE6">
        <f t="shared" si="4"/>
        <v>17</v>
      </c>
      <c r="AF6">
        <f t="shared" si="5"/>
        <v>26</v>
      </c>
      <c r="AG6">
        <f t="shared" si="6"/>
        <v>11</v>
      </c>
      <c r="AH6">
        <f t="shared" si="7"/>
        <v>5</v>
      </c>
      <c r="AI6" cm="1">
        <f t="array" ref="AI6">SUMPRODUCT(--(INDEX($D$2:$Z$61, 0, ROW(A4)) &gt;= ($Y6 + 4)))</f>
        <v>0</v>
      </c>
      <c r="AJ6">
        <v>17</v>
      </c>
      <c r="AK6">
        <v>12</v>
      </c>
    </row>
    <row r="7" spans="1:42" x14ac:dyDescent="0.25">
      <c r="A7" t="s">
        <v>52</v>
      </c>
      <c r="B7">
        <v>30</v>
      </c>
      <c r="C7">
        <v>2</v>
      </c>
      <c r="D7">
        <v>6</v>
      </c>
      <c r="E7">
        <v>8</v>
      </c>
      <c r="F7">
        <v>5</v>
      </c>
      <c r="G7">
        <v>3</v>
      </c>
      <c r="H7">
        <v>8</v>
      </c>
      <c r="I7">
        <v>8</v>
      </c>
      <c r="J7">
        <v>4</v>
      </c>
      <c r="K7">
        <v>4</v>
      </c>
      <c r="L7">
        <v>5</v>
      </c>
      <c r="M7">
        <v>7</v>
      </c>
      <c r="N7">
        <v>4</v>
      </c>
      <c r="O7">
        <v>7</v>
      </c>
      <c r="P7">
        <v>7</v>
      </c>
      <c r="Q7">
        <v>6</v>
      </c>
      <c r="R7">
        <v>7</v>
      </c>
      <c r="S7">
        <v>3</v>
      </c>
      <c r="T7">
        <v>8</v>
      </c>
      <c r="U7">
        <v>6</v>
      </c>
      <c r="V7">
        <f t="shared" si="0"/>
        <v>106</v>
      </c>
      <c r="X7">
        <v>5</v>
      </c>
      <c r="Y7">
        <v>4</v>
      </c>
      <c r="Z7">
        <f>AVERAGE(H$2:H$61)</f>
        <v>5.166666666666667</v>
      </c>
      <c r="AA7">
        <f t="shared" si="1"/>
        <v>1.166666666666667</v>
      </c>
      <c r="AB7">
        <f>MAX(H2:H61)</f>
        <v>11</v>
      </c>
      <c r="AC7">
        <f t="shared" si="2"/>
        <v>0</v>
      </c>
      <c r="AD7">
        <f t="shared" si="3"/>
        <v>3</v>
      </c>
      <c r="AE7">
        <f t="shared" si="4"/>
        <v>17</v>
      </c>
      <c r="AF7">
        <f t="shared" si="5"/>
        <v>18</v>
      </c>
      <c r="AG7">
        <f t="shared" si="6"/>
        <v>16</v>
      </c>
      <c r="AH7">
        <f t="shared" si="7"/>
        <v>4</v>
      </c>
      <c r="AI7" cm="1">
        <f t="array" ref="AI7">SUMPRODUCT(--(INDEX($D$2:$Z$61, 0, ROW(A5)) &gt;= ($Y7 + 4)))</f>
        <v>2</v>
      </c>
      <c r="AJ7">
        <v>9</v>
      </c>
      <c r="AK7">
        <v>8</v>
      </c>
    </row>
    <row r="8" spans="1:42" x14ac:dyDescent="0.25">
      <c r="A8" t="s">
        <v>44</v>
      </c>
      <c r="B8">
        <v>30</v>
      </c>
      <c r="C8">
        <v>2</v>
      </c>
      <c r="D8">
        <v>6</v>
      </c>
      <c r="E8">
        <v>7</v>
      </c>
      <c r="F8">
        <v>6</v>
      </c>
      <c r="G8">
        <v>5</v>
      </c>
      <c r="H8">
        <v>6</v>
      </c>
      <c r="I8">
        <v>5</v>
      </c>
      <c r="J8">
        <v>4</v>
      </c>
      <c r="K8">
        <v>5</v>
      </c>
      <c r="L8">
        <v>6</v>
      </c>
      <c r="M8">
        <v>6</v>
      </c>
      <c r="N8">
        <v>4</v>
      </c>
      <c r="O8">
        <v>5</v>
      </c>
      <c r="P8">
        <v>5</v>
      </c>
      <c r="Q8">
        <v>7</v>
      </c>
      <c r="R8">
        <v>5</v>
      </c>
      <c r="S8">
        <v>3</v>
      </c>
      <c r="T8">
        <v>7</v>
      </c>
      <c r="U8">
        <v>6</v>
      </c>
      <c r="V8">
        <f t="shared" si="0"/>
        <v>98</v>
      </c>
      <c r="X8">
        <v>6</v>
      </c>
      <c r="Y8">
        <v>5</v>
      </c>
      <c r="Z8">
        <f>AVERAGE(I$2:I$61)</f>
        <v>5.3166666666666664</v>
      </c>
      <c r="AA8">
        <f t="shared" si="1"/>
        <v>0.31666666666666643</v>
      </c>
      <c r="AB8">
        <f>MAX(I2:I61)</f>
        <v>8</v>
      </c>
      <c r="AC8">
        <f t="shared" si="2"/>
        <v>3</v>
      </c>
      <c r="AD8">
        <f t="shared" si="3"/>
        <v>14</v>
      </c>
      <c r="AE8">
        <f t="shared" si="4"/>
        <v>19</v>
      </c>
      <c r="AF8">
        <f t="shared" si="5"/>
        <v>11</v>
      </c>
      <c r="AG8">
        <f t="shared" si="6"/>
        <v>11</v>
      </c>
      <c r="AH8">
        <f t="shared" si="7"/>
        <v>2</v>
      </c>
      <c r="AI8" cm="1">
        <f t="array" ref="AI8">SUMPRODUCT(--(INDEX($D$2:$Z$61, 0, ROW(A6)) &gt;= ($Y8 + 4)))</f>
        <v>0</v>
      </c>
      <c r="AJ8">
        <v>3</v>
      </c>
      <c r="AK8">
        <v>18</v>
      </c>
    </row>
    <row r="9" spans="1:42" x14ac:dyDescent="0.25">
      <c r="A9" t="s">
        <v>44</v>
      </c>
      <c r="B9">
        <v>30</v>
      </c>
      <c r="C9">
        <v>1</v>
      </c>
      <c r="D9">
        <v>9</v>
      </c>
      <c r="E9">
        <v>6</v>
      </c>
      <c r="F9">
        <v>5</v>
      </c>
      <c r="G9">
        <v>3</v>
      </c>
      <c r="H9">
        <v>5</v>
      </c>
      <c r="I9">
        <v>6</v>
      </c>
      <c r="J9">
        <v>4</v>
      </c>
      <c r="K9">
        <v>6</v>
      </c>
      <c r="L9">
        <v>6</v>
      </c>
      <c r="M9">
        <v>5</v>
      </c>
      <c r="N9">
        <v>4</v>
      </c>
      <c r="O9">
        <v>6</v>
      </c>
      <c r="P9">
        <v>4</v>
      </c>
      <c r="Q9">
        <v>5</v>
      </c>
      <c r="R9">
        <v>8</v>
      </c>
      <c r="S9">
        <v>3</v>
      </c>
      <c r="T9">
        <v>6</v>
      </c>
      <c r="U9">
        <v>6</v>
      </c>
      <c r="V9">
        <f t="shared" si="0"/>
        <v>97</v>
      </c>
      <c r="X9">
        <v>7</v>
      </c>
      <c r="Y9">
        <v>3</v>
      </c>
      <c r="Z9">
        <f>AVERAGE(J$2:J$61)</f>
        <v>4.4666666666666668</v>
      </c>
      <c r="AA9">
        <f t="shared" si="1"/>
        <v>1.4666666666666668</v>
      </c>
      <c r="AB9">
        <f>MAX(J2:J61)</f>
        <v>7</v>
      </c>
      <c r="AC9">
        <f t="shared" si="2"/>
        <v>0</v>
      </c>
      <c r="AD9">
        <f t="shared" si="3"/>
        <v>0</v>
      </c>
      <c r="AE9">
        <f t="shared" si="4"/>
        <v>7</v>
      </c>
      <c r="AF9">
        <f t="shared" si="5"/>
        <v>26</v>
      </c>
      <c r="AG9">
        <f t="shared" si="6"/>
        <v>20</v>
      </c>
      <c r="AH9">
        <f t="shared" si="7"/>
        <v>6</v>
      </c>
      <c r="AI9" cm="1">
        <f t="array" ref="AI9">SUMPRODUCT(--(INDEX($D$2:$Z$61, 0, ROW(A7)) &gt;= ($Y9 + 4)))</f>
        <v>1</v>
      </c>
      <c r="AJ9">
        <v>15</v>
      </c>
      <c r="AK9">
        <v>3</v>
      </c>
    </row>
    <row r="10" spans="1:42" x14ac:dyDescent="0.25">
      <c r="A10" t="s">
        <v>42</v>
      </c>
      <c r="B10">
        <v>28</v>
      </c>
      <c r="C10">
        <v>2</v>
      </c>
      <c r="D10">
        <v>8</v>
      </c>
      <c r="E10">
        <v>8</v>
      </c>
      <c r="F10">
        <v>4</v>
      </c>
      <c r="G10">
        <v>3</v>
      </c>
      <c r="H10">
        <v>6</v>
      </c>
      <c r="I10">
        <v>6</v>
      </c>
      <c r="J10">
        <v>3</v>
      </c>
      <c r="K10">
        <v>6</v>
      </c>
      <c r="L10">
        <v>5</v>
      </c>
      <c r="M10">
        <v>6</v>
      </c>
      <c r="N10">
        <v>5</v>
      </c>
      <c r="O10">
        <v>6</v>
      </c>
      <c r="P10">
        <v>8</v>
      </c>
      <c r="Q10">
        <v>7</v>
      </c>
      <c r="R10">
        <v>4</v>
      </c>
      <c r="S10">
        <v>5</v>
      </c>
      <c r="T10">
        <v>7</v>
      </c>
      <c r="U10">
        <v>8</v>
      </c>
      <c r="V10">
        <f t="shared" si="0"/>
        <v>105</v>
      </c>
      <c r="X10">
        <v>8</v>
      </c>
      <c r="Y10">
        <v>4</v>
      </c>
      <c r="Z10">
        <f>AVERAGE(K$2:K$61)</f>
        <v>4.8499999999999996</v>
      </c>
      <c r="AA10">
        <f t="shared" si="1"/>
        <v>0.84999999999999964</v>
      </c>
      <c r="AB10">
        <f>MAX(K2:K61)</f>
        <v>9</v>
      </c>
      <c r="AC10">
        <f t="shared" si="2"/>
        <v>0</v>
      </c>
      <c r="AD10">
        <f t="shared" si="3"/>
        <v>5</v>
      </c>
      <c r="AE10">
        <f t="shared" si="4"/>
        <v>24</v>
      </c>
      <c r="AF10">
        <f t="shared" si="5"/>
        <v>13</v>
      </c>
      <c r="AG10">
        <f t="shared" si="6"/>
        <v>14</v>
      </c>
      <c r="AH10">
        <f t="shared" si="7"/>
        <v>2</v>
      </c>
      <c r="AI10" cm="1">
        <f t="array" ref="AI10">SUMPRODUCT(--(INDEX($D$2:$Z$61, 0, ROW(A8)) &gt;= ($Y10 + 4)))</f>
        <v>2</v>
      </c>
      <c r="AJ10">
        <v>1</v>
      </c>
      <c r="AK10">
        <v>16</v>
      </c>
    </row>
    <row r="11" spans="1:42" x14ac:dyDescent="0.25">
      <c r="A11" t="s">
        <v>42</v>
      </c>
      <c r="B11">
        <v>28</v>
      </c>
      <c r="C11">
        <v>1</v>
      </c>
      <c r="D11">
        <v>6</v>
      </c>
      <c r="E11">
        <v>7</v>
      </c>
      <c r="F11">
        <v>6</v>
      </c>
      <c r="G11">
        <v>5</v>
      </c>
      <c r="H11">
        <v>5</v>
      </c>
      <c r="I11">
        <v>5</v>
      </c>
      <c r="J11">
        <v>4</v>
      </c>
      <c r="K11">
        <v>5</v>
      </c>
      <c r="L11">
        <v>6</v>
      </c>
      <c r="M11">
        <v>7</v>
      </c>
      <c r="N11">
        <v>5</v>
      </c>
      <c r="O11">
        <v>5</v>
      </c>
      <c r="P11">
        <v>4</v>
      </c>
      <c r="Q11">
        <v>6</v>
      </c>
      <c r="R11">
        <v>5</v>
      </c>
      <c r="S11">
        <v>4</v>
      </c>
      <c r="T11">
        <v>4</v>
      </c>
      <c r="U11">
        <v>6</v>
      </c>
      <c r="V11">
        <f t="shared" si="0"/>
        <v>95</v>
      </c>
      <c r="X11">
        <v>9</v>
      </c>
      <c r="Y11">
        <v>4</v>
      </c>
      <c r="Z11">
        <f>AVERAGE(L$2:L$61)</f>
        <v>5.2333333333333334</v>
      </c>
      <c r="AA11">
        <f t="shared" si="1"/>
        <v>1.2333333333333334</v>
      </c>
      <c r="AB11">
        <f>MAX(L2:L61)</f>
        <v>8</v>
      </c>
      <c r="AC11">
        <f t="shared" si="2"/>
        <v>0</v>
      </c>
      <c r="AD11">
        <f t="shared" si="3"/>
        <v>1</v>
      </c>
      <c r="AE11">
        <f t="shared" si="4"/>
        <v>14</v>
      </c>
      <c r="AF11">
        <f t="shared" si="5"/>
        <v>23</v>
      </c>
      <c r="AG11">
        <f t="shared" si="6"/>
        <v>15</v>
      </c>
      <c r="AH11">
        <f t="shared" si="7"/>
        <v>6</v>
      </c>
      <c r="AI11" cm="1">
        <f t="array" ref="AI11">SUMPRODUCT(--(INDEX($D$2:$Z$61, 0, ROW(A9)) &gt;= ($Y11 + 4)))</f>
        <v>1</v>
      </c>
      <c r="AJ11">
        <v>11</v>
      </c>
      <c r="AK11">
        <v>7</v>
      </c>
    </row>
    <row r="12" spans="1:42" x14ac:dyDescent="0.25">
      <c r="A12" t="s">
        <v>30</v>
      </c>
      <c r="B12">
        <v>27</v>
      </c>
      <c r="C12">
        <v>2</v>
      </c>
      <c r="D12">
        <v>7</v>
      </c>
      <c r="E12">
        <v>5</v>
      </c>
      <c r="F12">
        <v>5</v>
      </c>
      <c r="G12">
        <v>5</v>
      </c>
      <c r="H12">
        <v>6</v>
      </c>
      <c r="I12">
        <v>7</v>
      </c>
      <c r="J12">
        <v>5</v>
      </c>
      <c r="K12">
        <v>6</v>
      </c>
      <c r="L12">
        <v>4</v>
      </c>
      <c r="M12">
        <v>5</v>
      </c>
      <c r="N12">
        <v>6</v>
      </c>
      <c r="O12">
        <v>4</v>
      </c>
      <c r="P12">
        <v>5</v>
      </c>
      <c r="Q12">
        <v>4</v>
      </c>
      <c r="R12">
        <v>7</v>
      </c>
      <c r="S12">
        <v>3</v>
      </c>
      <c r="T12">
        <v>6</v>
      </c>
      <c r="U12">
        <v>6</v>
      </c>
      <c r="V12">
        <f t="shared" si="0"/>
        <v>96</v>
      </c>
      <c r="X12">
        <v>10</v>
      </c>
      <c r="Y12">
        <v>4</v>
      </c>
      <c r="Z12">
        <f>AVERAGE(M$2:M$61)</f>
        <v>5.833333333333333</v>
      </c>
      <c r="AA12">
        <f t="shared" si="1"/>
        <v>1.833333333333333</v>
      </c>
      <c r="AB12">
        <f>MAX(M2:M61)</f>
        <v>10</v>
      </c>
      <c r="AC12">
        <f t="shared" si="2"/>
        <v>0</v>
      </c>
      <c r="AD12">
        <f t="shared" si="3"/>
        <v>0</v>
      </c>
      <c r="AE12">
        <f t="shared" si="4"/>
        <v>12</v>
      </c>
      <c r="AF12">
        <f t="shared" si="5"/>
        <v>16</v>
      </c>
      <c r="AG12">
        <f t="shared" si="6"/>
        <v>16</v>
      </c>
      <c r="AH12">
        <f t="shared" si="7"/>
        <v>8</v>
      </c>
      <c r="AI12" cm="1">
        <f t="array" ref="AI12">SUMPRODUCT(--(INDEX($D$2:$Z$61, 0, ROW(A10)) &gt;= ($Y12 + 4)))</f>
        <v>8</v>
      </c>
      <c r="AJ12">
        <v>6</v>
      </c>
      <c r="AK12">
        <v>1</v>
      </c>
    </row>
    <row r="13" spans="1:42" x14ac:dyDescent="0.25">
      <c r="A13" t="s">
        <v>30</v>
      </c>
      <c r="B13">
        <v>27</v>
      </c>
      <c r="C13">
        <v>1</v>
      </c>
      <c r="D13">
        <v>10</v>
      </c>
      <c r="E13">
        <v>5</v>
      </c>
      <c r="F13">
        <v>5</v>
      </c>
      <c r="G13">
        <v>5</v>
      </c>
      <c r="H13">
        <v>5</v>
      </c>
      <c r="I13">
        <v>4</v>
      </c>
      <c r="J13">
        <v>5</v>
      </c>
      <c r="K13">
        <v>3</v>
      </c>
      <c r="L13">
        <v>5</v>
      </c>
      <c r="M13">
        <v>4</v>
      </c>
      <c r="N13">
        <v>4</v>
      </c>
      <c r="O13">
        <v>8</v>
      </c>
      <c r="P13">
        <v>5</v>
      </c>
      <c r="Q13">
        <v>7</v>
      </c>
      <c r="R13">
        <v>5</v>
      </c>
      <c r="S13">
        <v>3</v>
      </c>
      <c r="T13">
        <v>5</v>
      </c>
      <c r="U13">
        <v>7</v>
      </c>
      <c r="V13">
        <f t="shared" si="0"/>
        <v>95</v>
      </c>
      <c r="X13">
        <v>11</v>
      </c>
      <c r="Y13">
        <v>3</v>
      </c>
      <c r="Z13">
        <f>AVERAGE(N$2:N$61)</f>
        <v>4.083333333333333</v>
      </c>
      <c r="AA13">
        <f t="shared" si="1"/>
        <v>1.083333333333333</v>
      </c>
      <c r="AB13">
        <f>MAX(N2:N61)</f>
        <v>7</v>
      </c>
      <c r="AC13">
        <f t="shared" si="2"/>
        <v>0</v>
      </c>
      <c r="AD13">
        <f t="shared" si="3"/>
        <v>0</v>
      </c>
      <c r="AE13">
        <f t="shared" si="4"/>
        <v>20</v>
      </c>
      <c r="AF13">
        <f t="shared" si="5"/>
        <v>23</v>
      </c>
      <c r="AG13">
        <f t="shared" si="6"/>
        <v>10</v>
      </c>
      <c r="AH13">
        <f t="shared" si="7"/>
        <v>6</v>
      </c>
      <c r="AI13" cm="1">
        <f t="array" ref="AI13">SUMPRODUCT(--(INDEX($D$2:$Z$61, 0, ROW(A11)) &gt;= ($Y13 + 4)))</f>
        <v>1</v>
      </c>
      <c r="AJ13">
        <v>18</v>
      </c>
      <c r="AK13">
        <v>9</v>
      </c>
    </row>
    <row r="14" spans="1:42" x14ac:dyDescent="0.25">
      <c r="A14" t="s">
        <v>27</v>
      </c>
      <c r="B14">
        <v>26</v>
      </c>
      <c r="C14">
        <v>1</v>
      </c>
      <c r="D14">
        <v>6</v>
      </c>
      <c r="E14">
        <v>5</v>
      </c>
      <c r="F14">
        <v>5</v>
      </c>
      <c r="G14">
        <v>6</v>
      </c>
      <c r="H14">
        <v>4</v>
      </c>
      <c r="I14">
        <v>6</v>
      </c>
      <c r="J14">
        <v>5</v>
      </c>
      <c r="K14">
        <v>5</v>
      </c>
      <c r="L14">
        <v>7</v>
      </c>
      <c r="M14">
        <v>6</v>
      </c>
      <c r="N14">
        <v>4</v>
      </c>
      <c r="O14">
        <v>4</v>
      </c>
      <c r="P14">
        <v>5</v>
      </c>
      <c r="Q14">
        <v>6</v>
      </c>
      <c r="R14">
        <v>7</v>
      </c>
      <c r="S14">
        <v>6</v>
      </c>
      <c r="T14">
        <v>6</v>
      </c>
      <c r="U14">
        <v>7</v>
      </c>
      <c r="V14">
        <f t="shared" si="0"/>
        <v>100</v>
      </c>
      <c r="X14">
        <v>12</v>
      </c>
      <c r="Y14">
        <v>4</v>
      </c>
      <c r="Z14">
        <f>AVERAGE(O$2:O$61)</f>
        <v>4.9666666666666668</v>
      </c>
      <c r="AA14">
        <f t="shared" si="1"/>
        <v>0.96666666666666679</v>
      </c>
      <c r="AB14">
        <f>MAX(O2:O61)</f>
        <v>8</v>
      </c>
      <c r="AC14">
        <f t="shared" si="2"/>
        <v>0</v>
      </c>
      <c r="AD14">
        <f t="shared" si="3"/>
        <v>3</v>
      </c>
      <c r="AE14">
        <f t="shared" si="4"/>
        <v>22</v>
      </c>
      <c r="AF14">
        <f t="shared" si="5"/>
        <v>17</v>
      </c>
      <c r="AG14">
        <f t="shared" si="6"/>
        <v>12</v>
      </c>
      <c r="AH14">
        <f t="shared" si="7"/>
        <v>4</v>
      </c>
      <c r="AI14" cm="1">
        <f t="array" ref="AI14">SUMPRODUCT(--(INDEX($D$2:$Z$61, 0, ROW(A12)) &gt;= ($Y14 + 4)))</f>
        <v>2</v>
      </c>
      <c r="AJ14">
        <v>10</v>
      </c>
      <c r="AK14">
        <v>14</v>
      </c>
    </row>
    <row r="15" spans="1:42" x14ac:dyDescent="0.25">
      <c r="A15" t="s">
        <v>27</v>
      </c>
      <c r="B15">
        <v>26</v>
      </c>
      <c r="C15">
        <v>2</v>
      </c>
      <c r="D15">
        <v>6</v>
      </c>
      <c r="E15">
        <v>7</v>
      </c>
      <c r="F15">
        <v>5</v>
      </c>
      <c r="G15">
        <v>4</v>
      </c>
      <c r="H15">
        <v>5</v>
      </c>
      <c r="I15">
        <v>4</v>
      </c>
      <c r="J15">
        <v>5</v>
      </c>
      <c r="K15">
        <v>6</v>
      </c>
      <c r="L15">
        <v>6</v>
      </c>
      <c r="M15">
        <v>6</v>
      </c>
      <c r="N15">
        <v>6</v>
      </c>
      <c r="O15">
        <v>3</v>
      </c>
      <c r="P15">
        <v>5</v>
      </c>
      <c r="Q15">
        <v>5</v>
      </c>
      <c r="R15">
        <v>5</v>
      </c>
      <c r="S15">
        <v>3</v>
      </c>
      <c r="T15">
        <v>5</v>
      </c>
      <c r="U15">
        <v>6</v>
      </c>
      <c r="V15">
        <f t="shared" si="0"/>
        <v>92</v>
      </c>
      <c r="X15">
        <v>13</v>
      </c>
      <c r="Y15">
        <v>4</v>
      </c>
      <c r="Z15">
        <f>AVERAGE(P$2:P$61)</f>
        <v>5.05</v>
      </c>
      <c r="AA15">
        <f t="shared" si="1"/>
        <v>1.0499999999999998</v>
      </c>
      <c r="AB15">
        <f>MAX(P2:P61)</f>
        <v>9</v>
      </c>
      <c r="AC15">
        <f t="shared" si="2"/>
        <v>0</v>
      </c>
      <c r="AD15">
        <f t="shared" si="3"/>
        <v>2</v>
      </c>
      <c r="AE15">
        <f t="shared" si="4"/>
        <v>21</v>
      </c>
      <c r="AF15">
        <f t="shared" si="5"/>
        <v>21</v>
      </c>
      <c r="AG15">
        <f t="shared" si="6"/>
        <v>10</v>
      </c>
      <c r="AH15">
        <f t="shared" si="7"/>
        <v>1</v>
      </c>
      <c r="AI15" cm="1">
        <f t="array" ref="AI15">SUMPRODUCT(--(INDEX($D$2:$Z$61, 0, ROW(A13)) &gt;= ($Y15 + 4)))</f>
        <v>5</v>
      </c>
      <c r="AJ15">
        <v>12</v>
      </c>
      <c r="AK15">
        <v>11</v>
      </c>
    </row>
    <row r="16" spans="1:42" x14ac:dyDescent="0.25">
      <c r="A16" t="s">
        <v>50</v>
      </c>
      <c r="B16">
        <v>25</v>
      </c>
      <c r="C16">
        <v>2</v>
      </c>
      <c r="D16">
        <v>6</v>
      </c>
      <c r="E16">
        <v>5</v>
      </c>
      <c r="F16">
        <v>4</v>
      </c>
      <c r="G16">
        <v>4</v>
      </c>
      <c r="H16">
        <v>7</v>
      </c>
      <c r="I16">
        <v>4</v>
      </c>
      <c r="J16">
        <v>5</v>
      </c>
      <c r="K16">
        <v>6</v>
      </c>
      <c r="L16">
        <v>7</v>
      </c>
      <c r="M16">
        <v>6</v>
      </c>
      <c r="N16">
        <v>6</v>
      </c>
      <c r="O16">
        <v>5</v>
      </c>
      <c r="P16">
        <v>4</v>
      </c>
      <c r="Q16">
        <v>6</v>
      </c>
      <c r="R16">
        <v>6</v>
      </c>
      <c r="S16">
        <v>3</v>
      </c>
      <c r="T16">
        <v>4</v>
      </c>
      <c r="U16">
        <v>7</v>
      </c>
      <c r="V16">
        <f t="shared" si="0"/>
        <v>95</v>
      </c>
      <c r="X16">
        <v>14</v>
      </c>
      <c r="Y16">
        <v>5</v>
      </c>
      <c r="Z16">
        <f>AVERAGE(Q$2:Q$61)</f>
        <v>6.0166666666666666</v>
      </c>
      <c r="AA16">
        <f t="shared" si="1"/>
        <v>1.0166666666666666</v>
      </c>
      <c r="AB16">
        <f>MAX(Q2:Q61)</f>
        <v>10</v>
      </c>
      <c r="AC16">
        <f t="shared" si="2"/>
        <v>0</v>
      </c>
      <c r="AD16">
        <f t="shared" si="3"/>
        <v>6</v>
      </c>
      <c r="AE16">
        <f t="shared" si="4"/>
        <v>14</v>
      </c>
      <c r="AF16">
        <f t="shared" si="5"/>
        <v>23</v>
      </c>
      <c r="AG16">
        <f t="shared" si="6"/>
        <v>12</v>
      </c>
      <c r="AH16">
        <f t="shared" si="7"/>
        <v>2</v>
      </c>
      <c r="AI16" cm="1">
        <f t="array" ref="AI16">SUMPRODUCT(--(INDEX($D$2:$Z$61, 0, ROW(A14)) &gt;= ($Y16 + 4)))</f>
        <v>3</v>
      </c>
      <c r="AJ16">
        <v>2</v>
      </c>
      <c r="AK16">
        <v>13</v>
      </c>
      <c r="AL16" t="s">
        <v>78</v>
      </c>
      <c r="AM16" t="str">
        <f>CONCATENATE("Hole # ", AM17)</f>
        <v>Hole # 5</v>
      </c>
      <c r="AP16" t="str">
        <f>CONCATENATE("Par  ", AM18)</f>
        <v>Par  4</v>
      </c>
    </row>
    <row r="17" spans="1:48" x14ac:dyDescent="0.25">
      <c r="A17" t="s">
        <v>50</v>
      </c>
      <c r="B17">
        <v>25</v>
      </c>
      <c r="C17">
        <v>1</v>
      </c>
      <c r="D17">
        <v>6</v>
      </c>
      <c r="E17">
        <v>6</v>
      </c>
      <c r="F17">
        <v>4</v>
      </c>
      <c r="G17">
        <v>4</v>
      </c>
      <c r="H17">
        <v>4</v>
      </c>
      <c r="I17">
        <v>6</v>
      </c>
      <c r="J17">
        <v>4</v>
      </c>
      <c r="K17">
        <v>6</v>
      </c>
      <c r="L17">
        <v>4</v>
      </c>
      <c r="M17">
        <v>8</v>
      </c>
      <c r="N17">
        <v>6</v>
      </c>
      <c r="O17">
        <v>5</v>
      </c>
      <c r="P17">
        <v>4</v>
      </c>
      <c r="Q17">
        <v>6</v>
      </c>
      <c r="R17">
        <v>6</v>
      </c>
      <c r="S17">
        <v>3</v>
      </c>
      <c r="T17">
        <v>5</v>
      </c>
      <c r="U17">
        <v>7</v>
      </c>
      <c r="V17">
        <f t="shared" si="0"/>
        <v>94</v>
      </c>
      <c r="X17">
        <v>15</v>
      </c>
      <c r="Y17">
        <v>4</v>
      </c>
      <c r="Z17">
        <f>AVERAGE(R$2:R$61)</f>
        <v>5.3</v>
      </c>
      <c r="AA17">
        <f t="shared" si="1"/>
        <v>1.2999999999999998</v>
      </c>
      <c r="AB17">
        <f>MAX(R2:R61)</f>
        <v>9</v>
      </c>
      <c r="AC17">
        <f t="shared" si="2"/>
        <v>0</v>
      </c>
      <c r="AD17">
        <f t="shared" si="3"/>
        <v>2</v>
      </c>
      <c r="AE17">
        <f t="shared" si="4"/>
        <v>10</v>
      </c>
      <c r="AF17">
        <f t="shared" si="5"/>
        <v>27</v>
      </c>
      <c r="AG17">
        <f t="shared" si="6"/>
        <v>14</v>
      </c>
      <c r="AH17">
        <f t="shared" si="7"/>
        <v>4</v>
      </c>
      <c r="AI17" cm="1">
        <f t="array" ref="AI17">SUMPRODUCT(--(INDEX($D$2:$Z$61, 0, ROW(A15)) &gt;= ($Y17 + 4)))</f>
        <v>3</v>
      </c>
      <c r="AJ17">
        <v>14</v>
      </c>
      <c r="AK17">
        <v>6</v>
      </c>
      <c r="AL17" t="s">
        <v>79</v>
      </c>
      <c r="AM17">
        <f>_xlfn.NUMBERVALUE(_xlfn.TEXTJOIN(", ",TRUE,AL22:BC22))</f>
        <v>5</v>
      </c>
      <c r="AP17" t="str">
        <f>CONCATENATE("Handicap ", AM19)</f>
        <v>Handicap 9</v>
      </c>
    </row>
    <row r="18" spans="1:48" x14ac:dyDescent="0.25">
      <c r="A18" t="s">
        <v>43</v>
      </c>
      <c r="B18">
        <v>23</v>
      </c>
      <c r="C18">
        <v>1</v>
      </c>
      <c r="D18">
        <v>7</v>
      </c>
      <c r="E18">
        <v>5</v>
      </c>
      <c r="F18">
        <v>4</v>
      </c>
      <c r="G18">
        <v>6</v>
      </c>
      <c r="H18">
        <v>11</v>
      </c>
      <c r="I18">
        <v>7</v>
      </c>
      <c r="J18">
        <v>4</v>
      </c>
      <c r="K18">
        <v>4</v>
      </c>
      <c r="L18">
        <v>4</v>
      </c>
      <c r="M18">
        <v>4</v>
      </c>
      <c r="N18">
        <v>6</v>
      </c>
      <c r="O18">
        <v>7</v>
      </c>
      <c r="P18">
        <v>4</v>
      </c>
      <c r="Q18">
        <v>6</v>
      </c>
      <c r="R18">
        <v>6</v>
      </c>
      <c r="S18">
        <v>3</v>
      </c>
      <c r="T18">
        <v>6</v>
      </c>
      <c r="U18">
        <v>5</v>
      </c>
      <c r="V18">
        <f t="shared" si="0"/>
        <v>99</v>
      </c>
      <c r="X18">
        <v>16</v>
      </c>
      <c r="Y18">
        <v>3</v>
      </c>
      <c r="Z18">
        <f>AVERAGE(S$2:S$61)</f>
        <v>3.55</v>
      </c>
      <c r="AA18">
        <f t="shared" si="1"/>
        <v>0.54999999999999982</v>
      </c>
      <c r="AB18">
        <f>MAX(S2:S61)</f>
        <v>6</v>
      </c>
      <c r="AC18">
        <f t="shared" si="2"/>
        <v>0</v>
      </c>
      <c r="AD18">
        <f t="shared" si="3"/>
        <v>3</v>
      </c>
      <c r="AE18">
        <f t="shared" si="4"/>
        <v>31</v>
      </c>
      <c r="AF18">
        <f t="shared" si="5"/>
        <v>18</v>
      </c>
      <c r="AG18">
        <f t="shared" si="6"/>
        <v>6</v>
      </c>
      <c r="AH18">
        <f t="shared" si="7"/>
        <v>2</v>
      </c>
      <c r="AI18" cm="1">
        <f t="array" ref="AI18">SUMPRODUCT(--(INDEX($D$2:$Z$61, 0, ROW(A16)) &gt;= ($Y18 + 4)))</f>
        <v>0</v>
      </c>
      <c r="AJ18">
        <v>16</v>
      </c>
      <c r="AK18">
        <v>17</v>
      </c>
      <c r="AL18" t="s">
        <v>54</v>
      </c>
      <c r="AM18" t="str">
        <f>_xlfn.TEXTJOIN(", ",TRUE,AL23:BC23)</f>
        <v>4</v>
      </c>
    </row>
    <row r="19" spans="1:48" x14ac:dyDescent="0.25">
      <c r="A19" t="s">
        <v>43</v>
      </c>
      <c r="B19">
        <v>23</v>
      </c>
      <c r="C19">
        <v>2</v>
      </c>
      <c r="D19">
        <v>6</v>
      </c>
      <c r="E19">
        <v>5</v>
      </c>
      <c r="F19">
        <v>5</v>
      </c>
      <c r="G19">
        <v>5</v>
      </c>
      <c r="H19">
        <v>7</v>
      </c>
      <c r="I19">
        <v>4</v>
      </c>
      <c r="J19">
        <v>4</v>
      </c>
      <c r="K19">
        <v>4</v>
      </c>
      <c r="L19">
        <v>8</v>
      </c>
      <c r="M19">
        <v>10</v>
      </c>
      <c r="N19">
        <v>4</v>
      </c>
      <c r="O19">
        <v>4</v>
      </c>
      <c r="P19">
        <v>5</v>
      </c>
      <c r="Q19">
        <v>7</v>
      </c>
      <c r="R19">
        <v>5</v>
      </c>
      <c r="S19">
        <v>3</v>
      </c>
      <c r="T19">
        <v>5</v>
      </c>
      <c r="U19">
        <v>6</v>
      </c>
      <c r="V19">
        <f t="shared" si="0"/>
        <v>97</v>
      </c>
      <c r="X19">
        <v>17</v>
      </c>
      <c r="Y19">
        <v>4</v>
      </c>
      <c r="Z19">
        <f>AVERAGE(T$2:T$61)</f>
        <v>5.416666666666667</v>
      </c>
      <c r="AA19">
        <f t="shared" si="1"/>
        <v>1.416666666666667</v>
      </c>
      <c r="AB19">
        <f>MAX(T2:T61)</f>
        <v>8</v>
      </c>
      <c r="AC19">
        <f t="shared" si="2"/>
        <v>0</v>
      </c>
      <c r="AD19">
        <f t="shared" si="3"/>
        <v>2</v>
      </c>
      <c r="AE19">
        <f t="shared" si="4"/>
        <v>13</v>
      </c>
      <c r="AF19">
        <f t="shared" si="5"/>
        <v>18</v>
      </c>
      <c r="AG19">
        <f t="shared" si="6"/>
        <v>15</v>
      </c>
      <c r="AH19">
        <f t="shared" si="7"/>
        <v>9</v>
      </c>
      <c r="AI19" cm="1">
        <f t="array" ref="AI19">SUMPRODUCT(--(INDEX($D$2:$Z$61, 0, ROW(A17)) &gt;= ($Y19 + 4)))</f>
        <v>3</v>
      </c>
      <c r="AJ19">
        <v>8</v>
      </c>
      <c r="AK19">
        <v>5</v>
      </c>
      <c r="AL19" t="s">
        <v>1</v>
      </c>
      <c r="AM19" t="str">
        <f>_xlfn.TEXTJOIN(", ",TRUE,AL24:BC24)</f>
        <v>9</v>
      </c>
    </row>
    <row r="20" spans="1:48" x14ac:dyDescent="0.25">
      <c r="A20" t="s">
        <v>23</v>
      </c>
      <c r="B20">
        <v>22</v>
      </c>
      <c r="C20">
        <v>1</v>
      </c>
      <c r="D20">
        <v>9</v>
      </c>
      <c r="E20">
        <v>6</v>
      </c>
      <c r="F20">
        <v>4</v>
      </c>
      <c r="G20">
        <v>4</v>
      </c>
      <c r="H20">
        <v>4</v>
      </c>
      <c r="I20">
        <v>6</v>
      </c>
      <c r="J20">
        <v>5</v>
      </c>
      <c r="K20">
        <v>7</v>
      </c>
      <c r="L20">
        <v>7</v>
      </c>
      <c r="M20">
        <v>6</v>
      </c>
      <c r="N20">
        <v>4</v>
      </c>
      <c r="O20">
        <v>5</v>
      </c>
      <c r="P20">
        <v>4</v>
      </c>
      <c r="Q20">
        <v>8</v>
      </c>
      <c r="R20">
        <v>5</v>
      </c>
      <c r="S20">
        <v>4</v>
      </c>
      <c r="T20">
        <v>6</v>
      </c>
      <c r="U20">
        <v>7</v>
      </c>
      <c r="V20">
        <f t="shared" si="0"/>
        <v>101</v>
      </c>
      <c r="X20">
        <v>18</v>
      </c>
      <c r="Y20">
        <v>4</v>
      </c>
      <c r="Z20">
        <f>AVERAGE(U$2:U$61)</f>
        <v>5.7666666666666666</v>
      </c>
      <c r="AA20">
        <f t="shared" si="1"/>
        <v>1.7666666666666666</v>
      </c>
      <c r="AB20">
        <f>MAX(U2:U61)</f>
        <v>8</v>
      </c>
      <c r="AC20">
        <f t="shared" si="2"/>
        <v>0</v>
      </c>
      <c r="AD20">
        <f t="shared" si="3"/>
        <v>0</v>
      </c>
      <c r="AE20">
        <f t="shared" si="4"/>
        <v>5</v>
      </c>
      <c r="AF20">
        <f t="shared" si="5"/>
        <v>20</v>
      </c>
      <c r="AG20">
        <f t="shared" si="6"/>
        <v>22</v>
      </c>
      <c r="AH20">
        <f t="shared" si="7"/>
        <v>10</v>
      </c>
      <c r="AI20" cm="1">
        <f t="array" ref="AI20">SUMPRODUCT(--(INDEX($D$2:$Z$61, 0, ROW(A18)) &gt;= ($Y20 + 4)))</f>
        <v>3</v>
      </c>
      <c r="AJ20">
        <v>4</v>
      </c>
      <c r="AK20">
        <v>2</v>
      </c>
      <c r="AV20" t="str">
        <f>"Hole: " &amp; AM17 &amp; CHAR(10) &amp; "Par: " &amp; AM18 &amp; CHAR(10) &amp; "Handicap: " &amp; AM19</f>
        <v>Hole: 5
Par: 4
Handicap: 9</v>
      </c>
    </row>
    <row r="21" spans="1:48" x14ac:dyDescent="0.25">
      <c r="A21" t="s">
        <v>23</v>
      </c>
      <c r="B21">
        <v>22</v>
      </c>
      <c r="C21">
        <v>2</v>
      </c>
      <c r="D21">
        <v>6</v>
      </c>
      <c r="E21">
        <v>6</v>
      </c>
      <c r="F21">
        <v>5</v>
      </c>
      <c r="G21">
        <v>2</v>
      </c>
      <c r="H21">
        <v>5</v>
      </c>
      <c r="I21">
        <v>6</v>
      </c>
      <c r="J21">
        <v>5</v>
      </c>
      <c r="K21">
        <v>4</v>
      </c>
      <c r="L21">
        <v>5</v>
      </c>
      <c r="M21">
        <v>10</v>
      </c>
      <c r="N21">
        <v>3</v>
      </c>
      <c r="O21">
        <v>5</v>
      </c>
      <c r="P21">
        <v>5</v>
      </c>
      <c r="Q21">
        <v>6</v>
      </c>
      <c r="R21">
        <v>5</v>
      </c>
      <c r="S21">
        <v>4</v>
      </c>
      <c r="T21">
        <v>6</v>
      </c>
      <c r="U21">
        <v>5</v>
      </c>
      <c r="V21">
        <f t="shared" si="0"/>
        <v>93</v>
      </c>
      <c r="AL21" s="2" t="s">
        <v>71</v>
      </c>
    </row>
    <row r="22" spans="1:48" x14ac:dyDescent="0.25">
      <c r="A22" t="s">
        <v>48</v>
      </c>
      <c r="B22">
        <v>20</v>
      </c>
      <c r="C22">
        <v>1</v>
      </c>
      <c r="D22">
        <v>6</v>
      </c>
      <c r="E22">
        <v>6</v>
      </c>
      <c r="F22">
        <v>4</v>
      </c>
      <c r="G22">
        <v>5</v>
      </c>
      <c r="H22">
        <v>5</v>
      </c>
      <c r="I22">
        <v>7</v>
      </c>
      <c r="J22">
        <v>5</v>
      </c>
      <c r="K22">
        <v>6</v>
      </c>
      <c r="L22">
        <v>4</v>
      </c>
      <c r="M22">
        <v>5</v>
      </c>
      <c r="N22">
        <v>4</v>
      </c>
      <c r="O22">
        <v>5</v>
      </c>
      <c r="P22">
        <v>5</v>
      </c>
      <c r="Q22">
        <v>6</v>
      </c>
      <c r="R22">
        <v>6</v>
      </c>
      <c r="S22">
        <v>3</v>
      </c>
      <c r="T22">
        <v>7</v>
      </c>
      <c r="U22">
        <v>6</v>
      </c>
      <c r="V22">
        <f t="shared" si="0"/>
        <v>95</v>
      </c>
      <c r="AL22">
        <v>5</v>
      </c>
    </row>
    <row r="23" spans="1:48" x14ac:dyDescent="0.25">
      <c r="A23" t="s">
        <v>25</v>
      </c>
      <c r="B23">
        <v>20</v>
      </c>
      <c r="C23">
        <v>2</v>
      </c>
      <c r="D23">
        <v>5</v>
      </c>
      <c r="E23">
        <v>5</v>
      </c>
      <c r="F23">
        <v>5</v>
      </c>
      <c r="G23">
        <v>4</v>
      </c>
      <c r="H23">
        <v>7</v>
      </c>
      <c r="I23">
        <v>7</v>
      </c>
      <c r="J23">
        <v>4</v>
      </c>
      <c r="K23">
        <v>6</v>
      </c>
      <c r="L23">
        <v>7</v>
      </c>
      <c r="M23">
        <v>7</v>
      </c>
      <c r="N23">
        <v>4</v>
      </c>
      <c r="O23">
        <v>4</v>
      </c>
      <c r="P23">
        <v>4</v>
      </c>
      <c r="Q23">
        <v>6</v>
      </c>
      <c r="R23">
        <v>5</v>
      </c>
      <c r="S23">
        <v>2</v>
      </c>
      <c r="T23">
        <v>5</v>
      </c>
      <c r="U23">
        <v>6</v>
      </c>
      <c r="V23">
        <f t="shared" si="0"/>
        <v>93</v>
      </c>
      <c r="AL23">
        <v>4</v>
      </c>
    </row>
    <row r="24" spans="1:48" x14ac:dyDescent="0.25">
      <c r="A24" t="s">
        <v>48</v>
      </c>
      <c r="B24">
        <v>20</v>
      </c>
      <c r="C24">
        <v>2</v>
      </c>
      <c r="D24">
        <v>5</v>
      </c>
      <c r="E24">
        <v>7</v>
      </c>
      <c r="F24">
        <v>6</v>
      </c>
      <c r="G24">
        <v>5</v>
      </c>
      <c r="H24">
        <v>5</v>
      </c>
      <c r="I24">
        <v>5</v>
      </c>
      <c r="J24">
        <v>3</v>
      </c>
      <c r="K24">
        <v>6</v>
      </c>
      <c r="L24">
        <v>4</v>
      </c>
      <c r="M24">
        <v>6</v>
      </c>
      <c r="N24">
        <v>5</v>
      </c>
      <c r="O24">
        <v>4</v>
      </c>
      <c r="P24">
        <v>4</v>
      </c>
      <c r="Q24">
        <v>6</v>
      </c>
      <c r="R24">
        <v>6</v>
      </c>
      <c r="S24">
        <v>4</v>
      </c>
      <c r="T24">
        <v>5</v>
      </c>
      <c r="U24">
        <v>6</v>
      </c>
      <c r="V24">
        <f t="shared" si="0"/>
        <v>92</v>
      </c>
      <c r="AG24" s="2" t="s">
        <v>60</v>
      </c>
      <c r="AH24" s="3">
        <v>5</v>
      </c>
      <c r="AL24">
        <v>9</v>
      </c>
    </row>
    <row r="25" spans="1:48" x14ac:dyDescent="0.25">
      <c r="A25" t="s">
        <v>25</v>
      </c>
      <c r="B25">
        <v>20</v>
      </c>
      <c r="C25">
        <v>1</v>
      </c>
      <c r="D25">
        <v>5</v>
      </c>
      <c r="E25">
        <v>7</v>
      </c>
      <c r="F25">
        <v>6</v>
      </c>
      <c r="G25">
        <v>3</v>
      </c>
      <c r="H25">
        <v>4</v>
      </c>
      <c r="I25">
        <v>8</v>
      </c>
      <c r="J25">
        <v>4</v>
      </c>
      <c r="K25">
        <v>3</v>
      </c>
      <c r="L25">
        <v>6</v>
      </c>
      <c r="M25">
        <v>4</v>
      </c>
      <c r="N25">
        <v>3</v>
      </c>
      <c r="O25">
        <v>4</v>
      </c>
      <c r="P25">
        <v>6</v>
      </c>
      <c r="Q25">
        <v>6</v>
      </c>
      <c r="R25">
        <v>5</v>
      </c>
      <c r="S25">
        <v>4</v>
      </c>
      <c r="T25">
        <v>6</v>
      </c>
      <c r="U25">
        <v>5</v>
      </c>
      <c r="V25">
        <f t="shared" si="0"/>
        <v>89</v>
      </c>
    </row>
    <row r="26" spans="1:48" x14ac:dyDescent="0.25">
      <c r="A26" t="s">
        <v>46</v>
      </c>
      <c r="B26">
        <v>18</v>
      </c>
      <c r="C26">
        <v>1</v>
      </c>
      <c r="D26">
        <v>6</v>
      </c>
      <c r="E26">
        <v>8</v>
      </c>
      <c r="F26">
        <v>5</v>
      </c>
      <c r="G26">
        <v>5</v>
      </c>
      <c r="H26">
        <v>4</v>
      </c>
      <c r="I26">
        <v>6</v>
      </c>
      <c r="J26">
        <v>5</v>
      </c>
      <c r="K26">
        <v>5</v>
      </c>
      <c r="L26">
        <v>5</v>
      </c>
      <c r="M26">
        <v>6</v>
      </c>
      <c r="N26">
        <v>5</v>
      </c>
      <c r="O26">
        <v>5</v>
      </c>
      <c r="P26">
        <v>5</v>
      </c>
      <c r="Q26">
        <v>7</v>
      </c>
      <c r="R26">
        <v>6</v>
      </c>
      <c r="S26">
        <v>3</v>
      </c>
      <c r="T26">
        <v>6</v>
      </c>
      <c r="U26">
        <v>7</v>
      </c>
      <c r="V26">
        <f t="shared" si="0"/>
        <v>99</v>
      </c>
      <c r="Y26" t="s">
        <v>72</v>
      </c>
      <c r="Z26" t="s">
        <v>73</v>
      </c>
      <c r="AA26" t="s">
        <v>74</v>
      </c>
      <c r="AB26" t="s">
        <v>75</v>
      </c>
      <c r="AC26" t="s">
        <v>80</v>
      </c>
      <c r="AD26" t="s">
        <v>76</v>
      </c>
      <c r="AE26" t="s">
        <v>77</v>
      </c>
      <c r="AG26" t="s">
        <v>81</v>
      </c>
      <c r="AH26" t="s">
        <v>82</v>
      </c>
      <c r="AK26" s="2" t="s">
        <v>71</v>
      </c>
    </row>
    <row r="27" spans="1:48" x14ac:dyDescent="0.25">
      <c r="A27" t="s">
        <v>46</v>
      </c>
      <c r="B27">
        <v>18</v>
      </c>
      <c r="C27">
        <v>2</v>
      </c>
      <c r="D27">
        <v>6</v>
      </c>
      <c r="E27">
        <v>6</v>
      </c>
      <c r="F27">
        <v>5</v>
      </c>
      <c r="G27">
        <v>4</v>
      </c>
      <c r="H27">
        <v>4</v>
      </c>
      <c r="I27">
        <v>4</v>
      </c>
      <c r="J27">
        <v>4</v>
      </c>
      <c r="K27">
        <v>3</v>
      </c>
      <c r="L27">
        <v>4</v>
      </c>
      <c r="M27">
        <v>9</v>
      </c>
      <c r="N27">
        <v>5</v>
      </c>
      <c r="O27">
        <v>6</v>
      </c>
      <c r="P27">
        <v>4</v>
      </c>
      <c r="Q27">
        <v>6</v>
      </c>
      <c r="R27">
        <v>6</v>
      </c>
      <c r="S27">
        <v>6</v>
      </c>
      <c r="T27">
        <v>8</v>
      </c>
      <c r="U27">
        <v>5</v>
      </c>
      <c r="V27">
        <f t="shared" si="0"/>
        <v>95</v>
      </c>
      <c r="Y27" s="19">
        <v>0</v>
      </c>
      <c r="Z27" s="19">
        <v>3</v>
      </c>
      <c r="AA27" s="19">
        <v>17</v>
      </c>
      <c r="AB27" s="19">
        <v>18</v>
      </c>
      <c r="AC27" s="19">
        <v>16</v>
      </c>
      <c r="AD27" s="19">
        <v>4</v>
      </c>
      <c r="AE27" s="19">
        <v>2</v>
      </c>
      <c r="AG27" s="19">
        <v>5.166666666666667</v>
      </c>
      <c r="AH27" s="19">
        <v>11</v>
      </c>
      <c r="AK27">
        <v>11</v>
      </c>
      <c r="AM27" t="s">
        <v>84</v>
      </c>
      <c r="AN27" t="s">
        <v>57</v>
      </c>
    </row>
    <row r="28" spans="1:48" x14ac:dyDescent="0.25">
      <c r="A28" t="s">
        <v>31</v>
      </c>
      <c r="B28">
        <v>18</v>
      </c>
      <c r="C28">
        <v>1</v>
      </c>
      <c r="D28">
        <v>5</v>
      </c>
      <c r="E28">
        <v>5</v>
      </c>
      <c r="F28">
        <v>5</v>
      </c>
      <c r="G28">
        <v>6</v>
      </c>
      <c r="H28">
        <v>6</v>
      </c>
      <c r="I28">
        <v>4</v>
      </c>
      <c r="J28">
        <v>6</v>
      </c>
      <c r="K28">
        <v>5</v>
      </c>
      <c r="L28">
        <v>7</v>
      </c>
      <c r="M28">
        <v>4</v>
      </c>
      <c r="N28">
        <v>3</v>
      </c>
      <c r="O28">
        <v>6</v>
      </c>
      <c r="P28">
        <v>4</v>
      </c>
      <c r="Q28">
        <v>5</v>
      </c>
      <c r="R28">
        <v>5</v>
      </c>
      <c r="S28">
        <v>5</v>
      </c>
      <c r="T28">
        <v>6</v>
      </c>
      <c r="U28">
        <v>5</v>
      </c>
      <c r="V28">
        <f t="shared" si="0"/>
        <v>92</v>
      </c>
      <c r="AK28">
        <v>3</v>
      </c>
      <c r="AL28" t="s">
        <v>83</v>
      </c>
    </row>
    <row r="29" spans="1:48" x14ac:dyDescent="0.25">
      <c r="A29" t="s">
        <v>37</v>
      </c>
      <c r="B29">
        <v>18</v>
      </c>
      <c r="C29">
        <v>2</v>
      </c>
      <c r="D29">
        <v>4</v>
      </c>
      <c r="E29">
        <v>5</v>
      </c>
      <c r="F29">
        <v>5</v>
      </c>
      <c r="G29">
        <v>4</v>
      </c>
      <c r="H29">
        <v>6</v>
      </c>
      <c r="I29">
        <v>5</v>
      </c>
      <c r="J29">
        <v>4</v>
      </c>
      <c r="K29">
        <v>6</v>
      </c>
      <c r="L29">
        <v>5</v>
      </c>
      <c r="M29">
        <v>5</v>
      </c>
      <c r="N29">
        <v>4</v>
      </c>
      <c r="O29">
        <v>5</v>
      </c>
      <c r="P29">
        <v>6</v>
      </c>
      <c r="Q29">
        <v>6</v>
      </c>
      <c r="R29">
        <v>6</v>
      </c>
      <c r="S29">
        <v>3</v>
      </c>
      <c r="T29">
        <v>5</v>
      </c>
      <c r="U29">
        <v>6</v>
      </c>
      <c r="V29">
        <f t="shared" si="0"/>
        <v>90</v>
      </c>
      <c r="AK29">
        <v>18</v>
      </c>
    </row>
    <row r="30" spans="1:48" x14ac:dyDescent="0.25">
      <c r="A30" t="s">
        <v>22</v>
      </c>
      <c r="B30">
        <v>18</v>
      </c>
      <c r="C30">
        <v>2</v>
      </c>
      <c r="D30">
        <v>7</v>
      </c>
      <c r="E30">
        <v>5</v>
      </c>
      <c r="F30">
        <v>5</v>
      </c>
      <c r="G30">
        <v>5</v>
      </c>
      <c r="H30">
        <v>6</v>
      </c>
      <c r="I30">
        <v>3</v>
      </c>
      <c r="J30">
        <v>7</v>
      </c>
      <c r="K30">
        <v>6</v>
      </c>
      <c r="L30">
        <v>4</v>
      </c>
      <c r="M30">
        <v>6</v>
      </c>
      <c r="N30">
        <v>3</v>
      </c>
      <c r="O30">
        <v>4</v>
      </c>
      <c r="P30">
        <v>5</v>
      </c>
      <c r="Q30">
        <v>5</v>
      </c>
      <c r="R30">
        <v>4</v>
      </c>
      <c r="S30">
        <v>3</v>
      </c>
      <c r="T30">
        <v>5</v>
      </c>
      <c r="U30">
        <v>6</v>
      </c>
      <c r="V30">
        <f t="shared" si="0"/>
        <v>89</v>
      </c>
    </row>
    <row r="31" spans="1:48" x14ac:dyDescent="0.25">
      <c r="A31" t="s">
        <v>22</v>
      </c>
      <c r="B31">
        <v>18</v>
      </c>
      <c r="C31">
        <v>1</v>
      </c>
      <c r="D31">
        <v>5</v>
      </c>
      <c r="E31">
        <v>4</v>
      </c>
      <c r="F31">
        <v>5</v>
      </c>
      <c r="G31">
        <v>4</v>
      </c>
      <c r="H31">
        <v>5</v>
      </c>
      <c r="I31">
        <v>7</v>
      </c>
      <c r="J31">
        <v>4</v>
      </c>
      <c r="K31">
        <v>5</v>
      </c>
      <c r="L31">
        <v>6</v>
      </c>
      <c r="M31">
        <v>4</v>
      </c>
      <c r="N31">
        <v>4</v>
      </c>
      <c r="O31">
        <v>4</v>
      </c>
      <c r="P31">
        <v>4</v>
      </c>
      <c r="Q31">
        <v>7</v>
      </c>
      <c r="R31">
        <v>5</v>
      </c>
      <c r="S31">
        <v>4</v>
      </c>
      <c r="T31">
        <v>4</v>
      </c>
      <c r="U31">
        <v>6</v>
      </c>
      <c r="V31">
        <f t="shared" si="0"/>
        <v>87</v>
      </c>
      <c r="Y31" t="s">
        <v>60</v>
      </c>
      <c r="Z31" t="s">
        <v>62</v>
      </c>
      <c r="AA31" t="s">
        <v>85</v>
      </c>
      <c r="AD31" s="2" t="s">
        <v>87</v>
      </c>
      <c r="AE31" t="s">
        <v>86</v>
      </c>
    </row>
    <row r="32" spans="1:48" x14ac:dyDescent="0.25">
      <c r="A32" t="s">
        <v>28</v>
      </c>
      <c r="B32">
        <v>18</v>
      </c>
      <c r="C32">
        <v>2</v>
      </c>
      <c r="D32">
        <v>6</v>
      </c>
      <c r="E32">
        <v>5</v>
      </c>
      <c r="F32">
        <v>4</v>
      </c>
      <c r="G32">
        <v>4</v>
      </c>
      <c r="H32">
        <v>6</v>
      </c>
      <c r="I32">
        <v>5</v>
      </c>
      <c r="J32">
        <v>5</v>
      </c>
      <c r="K32">
        <v>4</v>
      </c>
      <c r="L32">
        <v>5</v>
      </c>
      <c r="M32">
        <v>4</v>
      </c>
      <c r="N32">
        <v>4</v>
      </c>
      <c r="O32">
        <v>5</v>
      </c>
      <c r="P32">
        <v>4</v>
      </c>
      <c r="Q32">
        <v>6</v>
      </c>
      <c r="R32">
        <v>5</v>
      </c>
      <c r="S32">
        <v>4</v>
      </c>
      <c r="T32">
        <v>4</v>
      </c>
      <c r="U32">
        <v>7</v>
      </c>
      <c r="V32">
        <f t="shared" si="0"/>
        <v>87</v>
      </c>
      <c r="Y32">
        <v>1</v>
      </c>
      <c r="Z32">
        <v>1.05</v>
      </c>
      <c r="AA32">
        <v>10</v>
      </c>
      <c r="AD32" s="3">
        <v>1</v>
      </c>
      <c r="AE32">
        <v>1.0499999999999998</v>
      </c>
    </row>
    <row r="33" spans="1:53" x14ac:dyDescent="0.25">
      <c r="A33" t="s">
        <v>31</v>
      </c>
      <c r="B33">
        <v>18</v>
      </c>
      <c r="C33">
        <v>2</v>
      </c>
      <c r="D33">
        <v>6</v>
      </c>
      <c r="E33">
        <v>5</v>
      </c>
      <c r="F33">
        <v>4</v>
      </c>
      <c r="G33">
        <v>3</v>
      </c>
      <c r="H33">
        <v>3</v>
      </c>
      <c r="I33">
        <v>5</v>
      </c>
      <c r="J33">
        <v>5</v>
      </c>
      <c r="K33">
        <v>6</v>
      </c>
      <c r="L33">
        <v>5</v>
      </c>
      <c r="M33">
        <v>6</v>
      </c>
      <c r="N33">
        <v>5</v>
      </c>
      <c r="O33">
        <v>4</v>
      </c>
      <c r="P33">
        <v>5</v>
      </c>
      <c r="Q33">
        <v>6</v>
      </c>
      <c r="R33">
        <v>5</v>
      </c>
      <c r="S33">
        <v>4</v>
      </c>
      <c r="T33">
        <v>5</v>
      </c>
      <c r="U33">
        <v>5</v>
      </c>
      <c r="V33">
        <f t="shared" si="0"/>
        <v>87</v>
      </c>
      <c r="Y33">
        <v>2</v>
      </c>
      <c r="Z33">
        <v>1.43</v>
      </c>
      <c r="AA33">
        <v>4</v>
      </c>
      <c r="AD33" s="3">
        <v>2</v>
      </c>
      <c r="AE33">
        <v>1.4333333333333336</v>
      </c>
    </row>
    <row r="34" spans="1:53" x14ac:dyDescent="0.25">
      <c r="A34" t="s">
        <v>37</v>
      </c>
      <c r="B34">
        <v>18</v>
      </c>
      <c r="C34">
        <v>1</v>
      </c>
      <c r="D34">
        <v>7</v>
      </c>
      <c r="E34">
        <v>5</v>
      </c>
      <c r="F34">
        <v>5</v>
      </c>
      <c r="G34">
        <v>3</v>
      </c>
      <c r="H34">
        <v>4</v>
      </c>
      <c r="I34">
        <v>5</v>
      </c>
      <c r="J34">
        <v>4</v>
      </c>
      <c r="K34">
        <v>5</v>
      </c>
      <c r="L34">
        <v>5</v>
      </c>
      <c r="M34">
        <v>5</v>
      </c>
      <c r="N34">
        <v>3</v>
      </c>
      <c r="O34">
        <v>5</v>
      </c>
      <c r="P34">
        <v>5</v>
      </c>
      <c r="Q34">
        <v>6</v>
      </c>
      <c r="R34">
        <v>6</v>
      </c>
      <c r="S34">
        <v>4</v>
      </c>
      <c r="T34">
        <v>4</v>
      </c>
      <c r="U34">
        <v>5</v>
      </c>
      <c r="V34">
        <f t="shared" ref="V34:V61" si="8">SUM(D34:U34)</f>
        <v>86</v>
      </c>
      <c r="Y34">
        <v>3</v>
      </c>
      <c r="Z34">
        <v>0.85</v>
      </c>
      <c r="AA34">
        <v>15</v>
      </c>
      <c r="AD34" s="3">
        <v>3</v>
      </c>
      <c r="AE34">
        <v>0.84999999999999964</v>
      </c>
    </row>
    <row r="35" spans="1:53" x14ac:dyDescent="0.25">
      <c r="A35" t="s">
        <v>28</v>
      </c>
      <c r="B35">
        <v>18</v>
      </c>
      <c r="C35">
        <v>1</v>
      </c>
      <c r="D35">
        <v>6</v>
      </c>
      <c r="E35">
        <v>6</v>
      </c>
      <c r="F35">
        <v>4</v>
      </c>
      <c r="G35">
        <v>4</v>
      </c>
      <c r="H35">
        <v>3</v>
      </c>
      <c r="I35">
        <v>4</v>
      </c>
      <c r="J35">
        <v>4</v>
      </c>
      <c r="K35">
        <v>5</v>
      </c>
      <c r="L35">
        <v>5</v>
      </c>
      <c r="M35">
        <v>5</v>
      </c>
      <c r="N35">
        <v>3</v>
      </c>
      <c r="O35">
        <v>4</v>
      </c>
      <c r="P35">
        <v>4</v>
      </c>
      <c r="Q35">
        <v>6</v>
      </c>
      <c r="R35">
        <v>8</v>
      </c>
      <c r="S35">
        <v>4</v>
      </c>
      <c r="T35">
        <v>4</v>
      </c>
      <c r="U35">
        <v>6</v>
      </c>
      <c r="V35">
        <f t="shared" si="8"/>
        <v>85</v>
      </c>
      <c r="Y35">
        <v>4</v>
      </c>
      <c r="Z35">
        <v>1.03</v>
      </c>
      <c r="AA35">
        <v>12</v>
      </c>
      <c r="AD35" s="3">
        <v>4</v>
      </c>
      <c r="AE35">
        <v>1.0333333333333332</v>
      </c>
    </row>
    <row r="36" spans="1:53" x14ac:dyDescent="0.25">
      <c r="A36" t="s">
        <v>38</v>
      </c>
      <c r="B36">
        <v>16</v>
      </c>
      <c r="C36">
        <v>1</v>
      </c>
      <c r="D36">
        <v>5</v>
      </c>
      <c r="E36">
        <v>6</v>
      </c>
      <c r="F36">
        <v>7</v>
      </c>
      <c r="G36">
        <v>3</v>
      </c>
      <c r="H36">
        <v>6</v>
      </c>
      <c r="I36">
        <v>5</v>
      </c>
      <c r="J36">
        <v>6</v>
      </c>
      <c r="K36">
        <v>8</v>
      </c>
      <c r="L36">
        <v>4</v>
      </c>
      <c r="M36">
        <v>5</v>
      </c>
      <c r="N36">
        <v>3</v>
      </c>
      <c r="O36">
        <v>4</v>
      </c>
      <c r="P36">
        <v>6</v>
      </c>
      <c r="Q36">
        <v>5</v>
      </c>
      <c r="R36">
        <v>5</v>
      </c>
      <c r="S36">
        <v>3</v>
      </c>
      <c r="T36">
        <v>6</v>
      </c>
      <c r="U36">
        <v>5</v>
      </c>
      <c r="V36">
        <f t="shared" si="8"/>
        <v>92</v>
      </c>
      <c r="Y36">
        <v>5</v>
      </c>
      <c r="Z36">
        <v>1.1599999999999999</v>
      </c>
      <c r="AA36">
        <v>8</v>
      </c>
      <c r="AD36" s="3">
        <v>5</v>
      </c>
      <c r="AE36">
        <v>1.166666666666667</v>
      </c>
    </row>
    <row r="37" spans="1:53" x14ac:dyDescent="0.25">
      <c r="A37" t="s">
        <v>39</v>
      </c>
      <c r="B37">
        <v>16</v>
      </c>
      <c r="C37">
        <v>2</v>
      </c>
      <c r="D37">
        <v>5</v>
      </c>
      <c r="E37">
        <v>4</v>
      </c>
      <c r="F37">
        <v>4</v>
      </c>
      <c r="G37">
        <v>4</v>
      </c>
      <c r="H37">
        <v>7</v>
      </c>
      <c r="I37">
        <v>5</v>
      </c>
      <c r="J37">
        <v>5</v>
      </c>
      <c r="K37">
        <v>4</v>
      </c>
      <c r="L37">
        <v>5</v>
      </c>
      <c r="M37">
        <v>8</v>
      </c>
      <c r="N37">
        <v>7</v>
      </c>
      <c r="O37">
        <v>4</v>
      </c>
      <c r="P37">
        <v>4</v>
      </c>
      <c r="Q37">
        <v>7</v>
      </c>
      <c r="R37">
        <v>5</v>
      </c>
      <c r="S37">
        <v>5</v>
      </c>
      <c r="T37">
        <v>5</v>
      </c>
      <c r="U37">
        <v>4</v>
      </c>
      <c r="V37">
        <f t="shared" si="8"/>
        <v>92</v>
      </c>
      <c r="Y37">
        <v>6</v>
      </c>
      <c r="Z37">
        <v>0.32</v>
      </c>
      <c r="AA37">
        <v>18</v>
      </c>
      <c r="AD37" s="3">
        <v>6</v>
      </c>
      <c r="AE37">
        <v>0.31666666666666643</v>
      </c>
    </row>
    <row r="38" spans="1:53" x14ac:dyDescent="0.25">
      <c r="A38" t="s">
        <v>38</v>
      </c>
      <c r="B38">
        <v>16</v>
      </c>
      <c r="C38">
        <v>2</v>
      </c>
      <c r="D38">
        <v>6</v>
      </c>
      <c r="E38">
        <v>8</v>
      </c>
      <c r="F38">
        <v>5</v>
      </c>
      <c r="G38">
        <v>4</v>
      </c>
      <c r="H38">
        <v>5</v>
      </c>
      <c r="I38">
        <v>6</v>
      </c>
      <c r="J38">
        <v>4</v>
      </c>
      <c r="K38">
        <v>5</v>
      </c>
      <c r="L38">
        <v>5</v>
      </c>
      <c r="M38">
        <v>5</v>
      </c>
      <c r="N38">
        <v>4</v>
      </c>
      <c r="O38">
        <v>4</v>
      </c>
      <c r="P38">
        <v>4</v>
      </c>
      <c r="Q38">
        <v>5</v>
      </c>
      <c r="R38">
        <v>6</v>
      </c>
      <c r="S38">
        <v>4</v>
      </c>
      <c r="T38">
        <v>5</v>
      </c>
      <c r="U38">
        <v>5</v>
      </c>
      <c r="V38">
        <f t="shared" si="8"/>
        <v>90</v>
      </c>
      <c r="Y38">
        <v>7</v>
      </c>
      <c r="Z38">
        <v>1.47</v>
      </c>
      <c r="AA38">
        <v>3</v>
      </c>
      <c r="AD38" s="3">
        <v>7</v>
      </c>
      <c r="AE38">
        <v>1.4666666666666668</v>
      </c>
      <c r="AI38" s="2" t="s">
        <v>87</v>
      </c>
      <c r="AJ38" t="s">
        <v>86</v>
      </c>
    </row>
    <row r="39" spans="1:53" x14ac:dyDescent="0.25">
      <c r="A39" t="s">
        <v>26</v>
      </c>
      <c r="B39">
        <v>16</v>
      </c>
      <c r="C39">
        <v>1</v>
      </c>
      <c r="D39">
        <v>7</v>
      </c>
      <c r="E39">
        <v>5</v>
      </c>
      <c r="F39">
        <v>5</v>
      </c>
      <c r="G39">
        <v>4</v>
      </c>
      <c r="H39">
        <v>5</v>
      </c>
      <c r="I39">
        <v>3</v>
      </c>
      <c r="J39">
        <v>4</v>
      </c>
      <c r="K39">
        <v>4</v>
      </c>
      <c r="L39">
        <v>6</v>
      </c>
      <c r="M39">
        <v>4</v>
      </c>
      <c r="N39">
        <v>4</v>
      </c>
      <c r="O39">
        <v>8</v>
      </c>
      <c r="P39">
        <v>5</v>
      </c>
      <c r="Q39">
        <v>6</v>
      </c>
      <c r="R39">
        <v>5</v>
      </c>
      <c r="S39">
        <v>3</v>
      </c>
      <c r="T39">
        <v>6</v>
      </c>
      <c r="U39">
        <v>4</v>
      </c>
      <c r="V39">
        <f t="shared" si="8"/>
        <v>88</v>
      </c>
      <c r="Y39">
        <v>8</v>
      </c>
      <c r="Z39">
        <v>0.85</v>
      </c>
      <c r="AA39">
        <v>16</v>
      </c>
      <c r="AD39" s="3">
        <v>8</v>
      </c>
      <c r="AE39">
        <v>0.84999999999999964</v>
      </c>
      <c r="AI39" s="3">
        <v>1</v>
      </c>
      <c r="AJ39">
        <v>1.0499999999999998</v>
      </c>
      <c r="AM39" s="2" t="s">
        <v>87</v>
      </c>
      <c r="AN39" t="str">
        <f>CONCATENATE("Difficulty Rank: ", AM40)</f>
        <v>Difficulty Rank: 8</v>
      </c>
    </row>
    <row r="40" spans="1:53" x14ac:dyDescent="0.25">
      <c r="A40" t="s">
        <v>26</v>
      </c>
      <c r="B40">
        <v>16</v>
      </c>
      <c r="C40">
        <v>2</v>
      </c>
      <c r="D40">
        <v>5</v>
      </c>
      <c r="E40">
        <v>5</v>
      </c>
      <c r="F40">
        <v>5</v>
      </c>
      <c r="G40">
        <v>3</v>
      </c>
      <c r="H40">
        <v>5</v>
      </c>
      <c r="I40">
        <v>5</v>
      </c>
      <c r="J40">
        <v>5</v>
      </c>
      <c r="K40">
        <v>4</v>
      </c>
      <c r="L40">
        <v>4</v>
      </c>
      <c r="M40">
        <v>7</v>
      </c>
      <c r="N40">
        <v>3</v>
      </c>
      <c r="O40">
        <v>5</v>
      </c>
      <c r="P40">
        <v>5</v>
      </c>
      <c r="Q40">
        <v>5</v>
      </c>
      <c r="R40">
        <v>4</v>
      </c>
      <c r="S40">
        <v>3</v>
      </c>
      <c r="T40">
        <v>6</v>
      </c>
      <c r="U40">
        <v>7</v>
      </c>
      <c r="V40">
        <f t="shared" si="8"/>
        <v>86</v>
      </c>
      <c r="Y40">
        <v>9</v>
      </c>
      <c r="Z40">
        <v>1.23</v>
      </c>
      <c r="AA40">
        <v>7</v>
      </c>
      <c r="AD40" s="3">
        <v>9</v>
      </c>
      <c r="AE40">
        <v>1.2333333333333334</v>
      </c>
      <c r="AI40" s="3">
        <v>2</v>
      </c>
      <c r="AJ40">
        <v>1.4333333333333336</v>
      </c>
      <c r="AM40" s="3">
        <v>8</v>
      </c>
    </row>
    <row r="41" spans="1:53" x14ac:dyDescent="0.25">
      <c r="A41" t="s">
        <v>39</v>
      </c>
      <c r="B41">
        <v>16</v>
      </c>
      <c r="C41">
        <f>1</f>
        <v>1</v>
      </c>
      <c r="D41">
        <v>6</v>
      </c>
      <c r="E41">
        <v>5</v>
      </c>
      <c r="F41">
        <v>4</v>
      </c>
      <c r="G41">
        <v>4</v>
      </c>
      <c r="H41">
        <v>4</v>
      </c>
      <c r="I41">
        <v>5</v>
      </c>
      <c r="J41">
        <v>6</v>
      </c>
      <c r="K41">
        <v>4</v>
      </c>
      <c r="L41">
        <v>6</v>
      </c>
      <c r="M41">
        <v>6</v>
      </c>
      <c r="N41">
        <v>4</v>
      </c>
      <c r="O41">
        <v>3</v>
      </c>
      <c r="P41">
        <v>4</v>
      </c>
      <c r="Q41">
        <v>5</v>
      </c>
      <c r="R41">
        <v>4</v>
      </c>
      <c r="S41">
        <v>2</v>
      </c>
      <c r="T41">
        <v>5</v>
      </c>
      <c r="U41">
        <v>8</v>
      </c>
      <c r="V41">
        <f t="shared" si="8"/>
        <v>85</v>
      </c>
      <c r="Y41">
        <v>10</v>
      </c>
      <c r="Z41">
        <v>1.83</v>
      </c>
      <c r="AA41">
        <v>1</v>
      </c>
      <c r="AD41" s="3">
        <v>10</v>
      </c>
      <c r="AE41">
        <v>1.833333333333333</v>
      </c>
      <c r="AI41" s="3">
        <v>3</v>
      </c>
      <c r="AJ41">
        <v>0.84999999999999964</v>
      </c>
    </row>
    <row r="42" spans="1:53" x14ac:dyDescent="0.25">
      <c r="A42" t="s">
        <v>35</v>
      </c>
      <c r="B42">
        <v>15</v>
      </c>
      <c r="C42">
        <v>1</v>
      </c>
      <c r="D42">
        <v>5</v>
      </c>
      <c r="E42">
        <v>6</v>
      </c>
      <c r="F42">
        <v>4</v>
      </c>
      <c r="G42">
        <v>4</v>
      </c>
      <c r="H42">
        <v>5</v>
      </c>
      <c r="I42">
        <v>4</v>
      </c>
      <c r="J42">
        <v>4</v>
      </c>
      <c r="K42">
        <v>4</v>
      </c>
      <c r="L42">
        <v>6</v>
      </c>
      <c r="M42">
        <v>5</v>
      </c>
      <c r="N42">
        <v>3</v>
      </c>
      <c r="O42">
        <v>5</v>
      </c>
      <c r="P42">
        <v>4</v>
      </c>
      <c r="Q42">
        <v>9</v>
      </c>
      <c r="R42">
        <v>5</v>
      </c>
      <c r="S42">
        <v>4</v>
      </c>
      <c r="T42">
        <v>7</v>
      </c>
      <c r="U42">
        <v>6</v>
      </c>
      <c r="V42">
        <f t="shared" si="8"/>
        <v>90</v>
      </c>
      <c r="Y42">
        <v>11</v>
      </c>
      <c r="Z42">
        <v>1.08</v>
      </c>
      <c r="AA42">
        <v>9</v>
      </c>
      <c r="AD42" s="3">
        <v>11</v>
      </c>
      <c r="AE42">
        <v>1.083333333333333</v>
      </c>
      <c r="AI42" s="3">
        <v>4</v>
      </c>
      <c r="AJ42">
        <v>1.0333333333333332</v>
      </c>
    </row>
    <row r="43" spans="1:53" x14ac:dyDescent="0.25">
      <c r="A43" t="s">
        <v>51</v>
      </c>
      <c r="B43">
        <v>15</v>
      </c>
      <c r="C43">
        <v>1</v>
      </c>
      <c r="D43">
        <v>4</v>
      </c>
      <c r="E43">
        <v>4</v>
      </c>
      <c r="F43">
        <v>5</v>
      </c>
      <c r="G43">
        <v>3</v>
      </c>
      <c r="H43">
        <v>6</v>
      </c>
      <c r="I43">
        <v>3</v>
      </c>
      <c r="J43">
        <v>5</v>
      </c>
      <c r="K43">
        <v>5</v>
      </c>
      <c r="L43">
        <v>6</v>
      </c>
      <c r="M43">
        <v>9</v>
      </c>
      <c r="N43">
        <v>3</v>
      </c>
      <c r="O43">
        <v>7</v>
      </c>
      <c r="P43">
        <v>3</v>
      </c>
      <c r="Q43">
        <v>5</v>
      </c>
      <c r="R43">
        <v>6</v>
      </c>
      <c r="S43">
        <v>3</v>
      </c>
      <c r="T43">
        <v>5</v>
      </c>
      <c r="U43">
        <v>6</v>
      </c>
      <c r="V43">
        <f t="shared" si="8"/>
        <v>88</v>
      </c>
      <c r="Y43">
        <v>12</v>
      </c>
      <c r="Z43">
        <v>0.97</v>
      </c>
      <c r="AA43">
        <v>14</v>
      </c>
      <c r="AD43" s="3">
        <v>12</v>
      </c>
      <c r="AE43">
        <v>0.96666666666666679</v>
      </c>
      <c r="AI43" s="3">
        <v>5</v>
      </c>
      <c r="AJ43">
        <v>1.166666666666667</v>
      </c>
      <c r="AY43" s="9"/>
      <c r="AZ43" s="10"/>
      <c r="BA43" s="11"/>
    </row>
    <row r="44" spans="1:53" x14ac:dyDescent="0.25">
      <c r="A44" t="s">
        <v>35</v>
      </c>
      <c r="B44">
        <v>15</v>
      </c>
      <c r="C44">
        <v>2</v>
      </c>
      <c r="D44">
        <v>7</v>
      </c>
      <c r="E44">
        <v>5</v>
      </c>
      <c r="F44">
        <v>3</v>
      </c>
      <c r="G44">
        <v>3</v>
      </c>
      <c r="H44">
        <v>6</v>
      </c>
      <c r="I44">
        <v>5</v>
      </c>
      <c r="J44">
        <v>6</v>
      </c>
      <c r="K44">
        <v>4</v>
      </c>
      <c r="L44">
        <v>4</v>
      </c>
      <c r="M44">
        <v>4</v>
      </c>
      <c r="N44">
        <v>3</v>
      </c>
      <c r="O44">
        <v>4</v>
      </c>
      <c r="P44">
        <v>4</v>
      </c>
      <c r="Q44">
        <v>7</v>
      </c>
      <c r="R44">
        <v>5</v>
      </c>
      <c r="S44">
        <v>5</v>
      </c>
      <c r="T44">
        <v>5</v>
      </c>
      <c r="U44">
        <v>6</v>
      </c>
      <c r="V44">
        <f t="shared" si="8"/>
        <v>86</v>
      </c>
      <c r="Y44">
        <v>13</v>
      </c>
      <c r="Z44">
        <v>1.05</v>
      </c>
      <c r="AA44">
        <v>11</v>
      </c>
      <c r="AD44" s="3">
        <v>13</v>
      </c>
      <c r="AE44">
        <v>1.0499999999999998</v>
      </c>
      <c r="AI44" s="3">
        <v>6</v>
      </c>
      <c r="AJ44">
        <v>0.31666666666666643</v>
      </c>
      <c r="AY44" s="12"/>
      <c r="AZ44" s="13"/>
      <c r="BA44" s="14"/>
    </row>
    <row r="45" spans="1:53" x14ac:dyDescent="0.25">
      <c r="A45" t="s">
        <v>51</v>
      </c>
      <c r="B45">
        <v>15</v>
      </c>
      <c r="C45">
        <v>2</v>
      </c>
      <c r="D45">
        <v>5</v>
      </c>
      <c r="E45">
        <v>4</v>
      </c>
      <c r="F45">
        <v>4</v>
      </c>
      <c r="G45">
        <v>6</v>
      </c>
      <c r="H45">
        <v>6</v>
      </c>
      <c r="I45">
        <v>5</v>
      </c>
      <c r="J45">
        <v>3</v>
      </c>
      <c r="K45">
        <v>4</v>
      </c>
      <c r="L45">
        <v>5</v>
      </c>
      <c r="M45">
        <v>7</v>
      </c>
      <c r="N45">
        <v>3</v>
      </c>
      <c r="O45">
        <v>4</v>
      </c>
      <c r="P45">
        <v>5</v>
      </c>
      <c r="Q45">
        <v>5</v>
      </c>
      <c r="R45">
        <v>5</v>
      </c>
      <c r="S45">
        <v>3</v>
      </c>
      <c r="T45">
        <v>4</v>
      </c>
      <c r="U45">
        <v>5</v>
      </c>
      <c r="V45">
        <f t="shared" si="8"/>
        <v>83</v>
      </c>
      <c r="Y45">
        <v>14</v>
      </c>
      <c r="Z45">
        <v>1.02</v>
      </c>
      <c r="AA45">
        <v>13</v>
      </c>
      <c r="AD45" s="3">
        <v>14</v>
      </c>
      <c r="AE45">
        <v>1.0166666666666666</v>
      </c>
      <c r="AI45" s="3">
        <v>7</v>
      </c>
      <c r="AJ45">
        <v>1.4666666666666668</v>
      </c>
      <c r="AY45" s="12"/>
      <c r="AZ45" s="13"/>
      <c r="BA45" s="14"/>
    </row>
    <row r="46" spans="1:53" x14ac:dyDescent="0.25">
      <c r="A46" t="s">
        <v>49</v>
      </c>
      <c r="B46">
        <v>14</v>
      </c>
      <c r="C46">
        <v>2</v>
      </c>
      <c r="D46">
        <v>5</v>
      </c>
      <c r="E46">
        <v>6</v>
      </c>
      <c r="F46">
        <v>4</v>
      </c>
      <c r="G46">
        <v>4</v>
      </c>
      <c r="H46">
        <v>4</v>
      </c>
      <c r="I46">
        <v>6</v>
      </c>
      <c r="J46">
        <v>5</v>
      </c>
      <c r="K46">
        <v>4</v>
      </c>
      <c r="L46">
        <v>5</v>
      </c>
      <c r="M46">
        <v>5</v>
      </c>
      <c r="N46">
        <v>4</v>
      </c>
      <c r="O46">
        <v>5</v>
      </c>
      <c r="P46">
        <v>5</v>
      </c>
      <c r="Q46">
        <v>7</v>
      </c>
      <c r="R46">
        <v>5</v>
      </c>
      <c r="S46">
        <v>4</v>
      </c>
      <c r="T46">
        <v>6</v>
      </c>
      <c r="U46">
        <v>6</v>
      </c>
      <c r="V46">
        <f t="shared" si="8"/>
        <v>90</v>
      </c>
      <c r="Y46">
        <v>15</v>
      </c>
      <c r="Z46">
        <v>1.3</v>
      </c>
      <c r="AA46">
        <v>6</v>
      </c>
      <c r="AD46" s="3">
        <v>15</v>
      </c>
      <c r="AE46">
        <v>1.2999999999999998</v>
      </c>
      <c r="AI46" s="3">
        <v>8</v>
      </c>
      <c r="AJ46">
        <v>0.84999999999999964</v>
      </c>
      <c r="AY46" s="12"/>
      <c r="AZ46" s="13"/>
      <c r="BA46" s="14"/>
    </row>
    <row r="47" spans="1:53" x14ac:dyDescent="0.25">
      <c r="A47" t="s">
        <v>36</v>
      </c>
      <c r="B47">
        <v>14</v>
      </c>
      <c r="C47">
        <v>2</v>
      </c>
      <c r="D47">
        <v>5</v>
      </c>
      <c r="E47">
        <v>5</v>
      </c>
      <c r="F47">
        <v>6</v>
      </c>
      <c r="G47">
        <v>4</v>
      </c>
      <c r="H47">
        <v>4</v>
      </c>
      <c r="I47">
        <v>4</v>
      </c>
      <c r="J47">
        <v>5</v>
      </c>
      <c r="K47">
        <v>5</v>
      </c>
      <c r="L47">
        <v>5</v>
      </c>
      <c r="M47">
        <v>6</v>
      </c>
      <c r="N47">
        <v>4</v>
      </c>
      <c r="O47">
        <v>5</v>
      </c>
      <c r="P47">
        <v>5</v>
      </c>
      <c r="Q47">
        <v>6</v>
      </c>
      <c r="R47">
        <v>5</v>
      </c>
      <c r="S47">
        <v>3</v>
      </c>
      <c r="T47">
        <v>6</v>
      </c>
      <c r="U47">
        <v>5</v>
      </c>
      <c r="V47">
        <f t="shared" si="8"/>
        <v>88</v>
      </c>
      <c r="Y47">
        <v>16</v>
      </c>
      <c r="Z47">
        <v>0.55000000000000004</v>
      </c>
      <c r="AA47">
        <v>17</v>
      </c>
      <c r="AD47" s="3">
        <v>16</v>
      </c>
      <c r="AE47">
        <v>0.54999999999999982</v>
      </c>
      <c r="AI47" s="3">
        <v>9</v>
      </c>
      <c r="AJ47">
        <v>1.2333333333333334</v>
      </c>
      <c r="AY47" s="12"/>
      <c r="AZ47" s="13"/>
      <c r="BA47" s="14"/>
    </row>
    <row r="48" spans="1:53" x14ac:dyDescent="0.25">
      <c r="A48" t="s">
        <v>36</v>
      </c>
      <c r="B48">
        <v>14</v>
      </c>
      <c r="C48">
        <v>1</v>
      </c>
      <c r="D48">
        <v>5</v>
      </c>
      <c r="E48">
        <v>6</v>
      </c>
      <c r="F48">
        <v>5</v>
      </c>
      <c r="G48">
        <v>4</v>
      </c>
      <c r="H48">
        <v>4</v>
      </c>
      <c r="I48">
        <v>4</v>
      </c>
      <c r="J48">
        <v>4</v>
      </c>
      <c r="K48">
        <v>6</v>
      </c>
      <c r="L48">
        <v>5</v>
      </c>
      <c r="M48">
        <v>5</v>
      </c>
      <c r="N48">
        <v>5</v>
      </c>
      <c r="O48">
        <v>6</v>
      </c>
      <c r="P48">
        <v>6</v>
      </c>
      <c r="Q48">
        <v>4</v>
      </c>
      <c r="R48">
        <v>4</v>
      </c>
      <c r="S48">
        <v>4</v>
      </c>
      <c r="T48">
        <v>4</v>
      </c>
      <c r="U48">
        <v>5</v>
      </c>
      <c r="V48">
        <f t="shared" si="8"/>
        <v>86</v>
      </c>
      <c r="Y48">
        <v>17</v>
      </c>
      <c r="Z48">
        <v>1.42</v>
      </c>
      <c r="AA48">
        <v>5</v>
      </c>
      <c r="AD48" s="3">
        <v>17</v>
      </c>
      <c r="AE48">
        <v>1.416666666666667</v>
      </c>
      <c r="AI48" s="3">
        <v>10</v>
      </c>
      <c r="AJ48">
        <v>1.833333333333333</v>
      </c>
      <c r="AY48" s="12"/>
      <c r="AZ48" s="13"/>
      <c r="BA48" s="14"/>
    </row>
    <row r="49" spans="1:67" x14ac:dyDescent="0.25">
      <c r="A49" t="s">
        <v>41</v>
      </c>
      <c r="B49">
        <v>14</v>
      </c>
      <c r="C49">
        <v>1</v>
      </c>
      <c r="D49">
        <v>5</v>
      </c>
      <c r="E49">
        <v>4</v>
      </c>
      <c r="F49">
        <v>3</v>
      </c>
      <c r="G49">
        <v>4</v>
      </c>
      <c r="H49">
        <v>6</v>
      </c>
      <c r="I49">
        <v>5</v>
      </c>
      <c r="J49">
        <v>4</v>
      </c>
      <c r="K49">
        <v>5</v>
      </c>
      <c r="L49">
        <v>5</v>
      </c>
      <c r="M49">
        <v>6</v>
      </c>
      <c r="N49">
        <v>4</v>
      </c>
      <c r="O49">
        <v>6</v>
      </c>
      <c r="P49">
        <v>5</v>
      </c>
      <c r="Q49">
        <v>6</v>
      </c>
      <c r="R49">
        <v>4</v>
      </c>
      <c r="S49">
        <v>3</v>
      </c>
      <c r="T49">
        <v>6</v>
      </c>
      <c r="U49">
        <v>5</v>
      </c>
      <c r="V49">
        <f t="shared" si="8"/>
        <v>86</v>
      </c>
      <c r="Y49">
        <v>18</v>
      </c>
      <c r="Z49">
        <v>1.77</v>
      </c>
      <c r="AA49">
        <v>2</v>
      </c>
      <c r="AD49" s="3">
        <v>18</v>
      </c>
      <c r="AE49">
        <v>1.7666666666666666</v>
      </c>
      <c r="AI49" s="3">
        <v>11</v>
      </c>
      <c r="AJ49">
        <v>1.083333333333333</v>
      </c>
      <c r="AY49" s="12"/>
      <c r="AZ49" s="13"/>
      <c r="BA49" s="14"/>
    </row>
    <row r="50" spans="1:67" x14ac:dyDescent="0.25">
      <c r="A50" t="s">
        <v>49</v>
      </c>
      <c r="B50">
        <v>14</v>
      </c>
      <c r="C50">
        <v>1</v>
      </c>
      <c r="D50">
        <v>6</v>
      </c>
      <c r="E50">
        <v>4</v>
      </c>
      <c r="F50">
        <v>4</v>
      </c>
      <c r="G50">
        <v>4</v>
      </c>
      <c r="H50">
        <v>5</v>
      </c>
      <c r="I50">
        <v>5</v>
      </c>
      <c r="J50">
        <v>4</v>
      </c>
      <c r="K50">
        <v>4</v>
      </c>
      <c r="L50">
        <v>6</v>
      </c>
      <c r="M50">
        <v>5</v>
      </c>
      <c r="N50">
        <v>4</v>
      </c>
      <c r="O50">
        <v>4</v>
      </c>
      <c r="P50">
        <v>5</v>
      </c>
      <c r="Q50">
        <v>5</v>
      </c>
      <c r="R50">
        <v>5</v>
      </c>
      <c r="S50">
        <v>3</v>
      </c>
      <c r="T50">
        <v>4</v>
      </c>
      <c r="U50">
        <v>5</v>
      </c>
      <c r="V50">
        <f t="shared" si="8"/>
        <v>82</v>
      </c>
      <c r="AD50" s="3" t="s">
        <v>57</v>
      </c>
      <c r="AE50">
        <v>20.383333333333329</v>
      </c>
      <c r="AI50" s="3">
        <v>12</v>
      </c>
      <c r="AJ50">
        <v>0.96666666666666679</v>
      </c>
      <c r="AY50" s="12"/>
      <c r="AZ50" s="13"/>
      <c r="BA50" s="14"/>
    </row>
    <row r="51" spans="1:67" x14ac:dyDescent="0.25">
      <c r="A51" t="s">
        <v>41</v>
      </c>
      <c r="B51">
        <v>14</v>
      </c>
      <c r="C51">
        <v>2</v>
      </c>
      <c r="D51">
        <v>6</v>
      </c>
      <c r="E51">
        <v>5</v>
      </c>
      <c r="F51">
        <v>5</v>
      </c>
      <c r="G51">
        <v>3</v>
      </c>
      <c r="H51">
        <v>5</v>
      </c>
      <c r="I51">
        <v>7</v>
      </c>
      <c r="J51">
        <v>5</v>
      </c>
      <c r="K51">
        <v>4</v>
      </c>
      <c r="L51">
        <v>4</v>
      </c>
      <c r="M51">
        <v>4</v>
      </c>
      <c r="N51">
        <v>4</v>
      </c>
      <c r="O51">
        <v>4</v>
      </c>
      <c r="P51">
        <v>6</v>
      </c>
      <c r="Q51">
        <v>5</v>
      </c>
      <c r="R51">
        <v>3</v>
      </c>
      <c r="S51">
        <v>3</v>
      </c>
      <c r="T51">
        <v>4</v>
      </c>
      <c r="U51">
        <v>5</v>
      </c>
      <c r="V51">
        <f t="shared" si="8"/>
        <v>82</v>
      </c>
      <c r="AI51" s="3">
        <v>13</v>
      </c>
      <c r="AJ51">
        <v>1.0499999999999998</v>
      </c>
      <c r="AY51" s="12"/>
      <c r="AZ51" s="13"/>
      <c r="BA51" s="14"/>
    </row>
    <row r="52" spans="1:67" x14ac:dyDescent="0.25">
      <c r="A52" t="s">
        <v>34</v>
      </c>
      <c r="B52">
        <v>12</v>
      </c>
      <c r="C52">
        <v>1</v>
      </c>
      <c r="D52">
        <v>5</v>
      </c>
      <c r="E52">
        <v>4</v>
      </c>
      <c r="F52">
        <v>6</v>
      </c>
      <c r="G52">
        <v>4</v>
      </c>
      <c r="H52">
        <v>6</v>
      </c>
      <c r="I52">
        <v>6</v>
      </c>
      <c r="J52">
        <v>4</v>
      </c>
      <c r="K52">
        <v>4</v>
      </c>
      <c r="L52">
        <v>3</v>
      </c>
      <c r="M52">
        <v>8</v>
      </c>
      <c r="N52">
        <v>5</v>
      </c>
      <c r="O52">
        <v>6</v>
      </c>
      <c r="P52">
        <v>6</v>
      </c>
      <c r="Q52">
        <v>10</v>
      </c>
      <c r="R52">
        <v>5</v>
      </c>
      <c r="S52">
        <v>2</v>
      </c>
      <c r="T52">
        <v>5</v>
      </c>
      <c r="U52">
        <v>8</v>
      </c>
      <c r="V52">
        <f t="shared" si="8"/>
        <v>97</v>
      </c>
      <c r="Y52" s="5" t="s">
        <v>60</v>
      </c>
      <c r="Z52" s="5" t="s">
        <v>62</v>
      </c>
      <c r="AA52" t="s">
        <v>110</v>
      </c>
      <c r="AB52" t="s">
        <v>109</v>
      </c>
      <c r="AI52" s="3">
        <v>14</v>
      </c>
      <c r="AJ52">
        <v>1.0166666666666666</v>
      </c>
      <c r="AY52" s="12"/>
      <c r="AZ52" s="13"/>
      <c r="BA52" s="14"/>
    </row>
    <row r="53" spans="1:67" x14ac:dyDescent="0.25">
      <c r="A53" t="s">
        <v>34</v>
      </c>
      <c r="B53">
        <v>12</v>
      </c>
      <c r="C53">
        <v>2</v>
      </c>
      <c r="D53">
        <v>7</v>
      </c>
      <c r="E53">
        <v>4</v>
      </c>
      <c r="F53">
        <v>4</v>
      </c>
      <c r="G53">
        <v>3</v>
      </c>
      <c r="H53">
        <v>4</v>
      </c>
      <c r="I53">
        <v>4</v>
      </c>
      <c r="J53">
        <v>5</v>
      </c>
      <c r="K53">
        <v>3</v>
      </c>
      <c r="L53">
        <v>5</v>
      </c>
      <c r="M53">
        <v>5</v>
      </c>
      <c r="N53">
        <v>3</v>
      </c>
      <c r="O53">
        <v>5</v>
      </c>
      <c r="P53">
        <v>6</v>
      </c>
      <c r="Q53">
        <v>5</v>
      </c>
      <c r="R53">
        <v>5</v>
      </c>
      <c r="S53">
        <v>3</v>
      </c>
      <c r="T53">
        <v>7</v>
      </c>
      <c r="U53">
        <v>6</v>
      </c>
      <c r="V53">
        <f t="shared" si="8"/>
        <v>84</v>
      </c>
      <c r="Y53" s="6">
        <v>1</v>
      </c>
      <c r="Z53" s="6">
        <v>1.05</v>
      </c>
      <c r="AA53">
        <f t="shared" ref="AA53:AA70" si="9">IF($Y53&lt;&gt;$AM$17,$Z53,NA())</f>
        <v>1.05</v>
      </c>
      <c r="AB53" t="e">
        <f t="shared" ref="AB53:AB70" si="10">IF($Y53=$AM$17,$Z53,NA())</f>
        <v>#N/A</v>
      </c>
      <c r="AI53" s="3">
        <v>15</v>
      </c>
      <c r="AJ53">
        <v>1.2999999999999998</v>
      </c>
      <c r="AY53" s="12"/>
      <c r="AZ53" s="13"/>
      <c r="BA53" s="14"/>
    </row>
    <row r="54" spans="1:67" x14ac:dyDescent="0.25">
      <c r="A54" t="s">
        <v>29</v>
      </c>
      <c r="B54">
        <v>10</v>
      </c>
      <c r="C54">
        <v>1</v>
      </c>
      <c r="D54">
        <v>4</v>
      </c>
      <c r="E54">
        <v>5</v>
      </c>
      <c r="F54">
        <v>4</v>
      </c>
      <c r="G54">
        <v>3</v>
      </c>
      <c r="H54">
        <v>5</v>
      </c>
      <c r="I54">
        <v>5</v>
      </c>
      <c r="J54">
        <v>3</v>
      </c>
      <c r="K54">
        <v>5</v>
      </c>
      <c r="L54">
        <v>4</v>
      </c>
      <c r="M54">
        <v>5</v>
      </c>
      <c r="N54">
        <v>4</v>
      </c>
      <c r="O54">
        <v>4</v>
      </c>
      <c r="P54">
        <v>6</v>
      </c>
      <c r="Q54">
        <v>5</v>
      </c>
      <c r="R54">
        <v>5</v>
      </c>
      <c r="S54">
        <v>3</v>
      </c>
      <c r="T54">
        <v>5</v>
      </c>
      <c r="U54">
        <v>5</v>
      </c>
      <c r="V54">
        <f t="shared" si="8"/>
        <v>80</v>
      </c>
      <c r="Y54" s="7">
        <v>2</v>
      </c>
      <c r="Z54" s="7">
        <v>1.43</v>
      </c>
      <c r="AA54">
        <f t="shared" si="9"/>
        <v>1.43</v>
      </c>
      <c r="AB54" t="e">
        <f t="shared" si="10"/>
        <v>#N/A</v>
      </c>
      <c r="AI54" s="3">
        <v>16</v>
      </c>
      <c r="AJ54">
        <v>0.54999999999999982</v>
      </c>
      <c r="AY54" s="12"/>
      <c r="AZ54" s="13"/>
      <c r="BA54" s="14"/>
    </row>
    <row r="55" spans="1:67" x14ac:dyDescent="0.25">
      <c r="A55" t="s">
        <v>24</v>
      </c>
      <c r="B55">
        <v>8</v>
      </c>
      <c r="C55">
        <v>1</v>
      </c>
      <c r="D55">
        <v>5</v>
      </c>
      <c r="E55">
        <v>4</v>
      </c>
      <c r="F55">
        <v>5</v>
      </c>
      <c r="G55">
        <v>4</v>
      </c>
      <c r="H55">
        <v>3</v>
      </c>
      <c r="I55">
        <v>4</v>
      </c>
      <c r="J55">
        <v>3</v>
      </c>
      <c r="K55">
        <v>4</v>
      </c>
      <c r="L55">
        <v>5</v>
      </c>
      <c r="M55">
        <v>4</v>
      </c>
      <c r="N55">
        <v>3</v>
      </c>
      <c r="O55">
        <v>5</v>
      </c>
      <c r="P55">
        <v>3</v>
      </c>
      <c r="Q55">
        <v>6</v>
      </c>
      <c r="R55">
        <v>4</v>
      </c>
      <c r="S55">
        <v>4</v>
      </c>
      <c r="T55">
        <v>4</v>
      </c>
      <c r="U55">
        <v>5</v>
      </c>
      <c r="V55">
        <f t="shared" si="8"/>
        <v>75</v>
      </c>
      <c r="Y55" s="6">
        <v>3</v>
      </c>
      <c r="Z55" s="6">
        <v>0.85</v>
      </c>
      <c r="AA55">
        <f t="shared" si="9"/>
        <v>0.85</v>
      </c>
      <c r="AB55" t="e">
        <f t="shared" si="10"/>
        <v>#N/A</v>
      </c>
      <c r="AI55" s="3">
        <v>17</v>
      </c>
      <c r="AJ55">
        <v>1.416666666666667</v>
      </c>
      <c r="AY55" s="12"/>
      <c r="AZ55" s="13"/>
      <c r="BA55" s="14"/>
    </row>
    <row r="56" spans="1:67" x14ac:dyDescent="0.25">
      <c r="A56" t="s">
        <v>40</v>
      </c>
      <c r="B56">
        <v>7</v>
      </c>
      <c r="C56">
        <v>1</v>
      </c>
      <c r="D56">
        <v>5</v>
      </c>
      <c r="E56">
        <v>4</v>
      </c>
      <c r="F56">
        <v>4</v>
      </c>
      <c r="G56">
        <v>3</v>
      </c>
      <c r="H56">
        <v>4</v>
      </c>
      <c r="I56">
        <v>7</v>
      </c>
      <c r="J56">
        <v>4</v>
      </c>
      <c r="K56">
        <v>3</v>
      </c>
      <c r="L56">
        <v>4</v>
      </c>
      <c r="M56">
        <v>6</v>
      </c>
      <c r="N56">
        <v>3</v>
      </c>
      <c r="O56">
        <v>4</v>
      </c>
      <c r="P56">
        <v>5</v>
      </c>
      <c r="Q56">
        <v>4</v>
      </c>
      <c r="R56">
        <v>4</v>
      </c>
      <c r="S56">
        <v>3</v>
      </c>
      <c r="T56">
        <v>5</v>
      </c>
      <c r="U56">
        <v>5</v>
      </c>
      <c r="V56">
        <f t="shared" si="8"/>
        <v>77</v>
      </c>
      <c r="Y56" s="7">
        <v>4</v>
      </c>
      <c r="Z56" s="7">
        <v>1.03</v>
      </c>
      <c r="AA56">
        <f t="shared" si="9"/>
        <v>1.03</v>
      </c>
      <c r="AB56" t="e">
        <f t="shared" si="10"/>
        <v>#N/A</v>
      </c>
      <c r="AI56" s="3">
        <v>18</v>
      </c>
      <c r="AJ56">
        <v>1.7666666666666666</v>
      </c>
      <c r="AY56" s="12"/>
      <c r="AZ56" s="13"/>
      <c r="BA56" s="14"/>
    </row>
    <row r="57" spans="1:67" x14ac:dyDescent="0.25">
      <c r="A57" t="s">
        <v>40</v>
      </c>
      <c r="B57">
        <v>7</v>
      </c>
      <c r="C57">
        <v>2</v>
      </c>
      <c r="D57">
        <v>5</v>
      </c>
      <c r="E57">
        <v>6</v>
      </c>
      <c r="F57">
        <v>4</v>
      </c>
      <c r="G57">
        <v>3</v>
      </c>
      <c r="H57">
        <v>4</v>
      </c>
      <c r="I57">
        <v>4</v>
      </c>
      <c r="J57">
        <v>4</v>
      </c>
      <c r="K57">
        <v>4</v>
      </c>
      <c r="L57">
        <v>5</v>
      </c>
      <c r="M57">
        <v>4</v>
      </c>
      <c r="N57">
        <v>3</v>
      </c>
      <c r="O57">
        <v>4</v>
      </c>
      <c r="P57">
        <v>4</v>
      </c>
      <c r="Q57">
        <v>6</v>
      </c>
      <c r="R57">
        <v>3</v>
      </c>
      <c r="S57">
        <v>3</v>
      </c>
      <c r="T57">
        <v>4</v>
      </c>
      <c r="U57">
        <v>5</v>
      </c>
      <c r="V57">
        <f t="shared" si="8"/>
        <v>75</v>
      </c>
      <c r="Y57" s="6">
        <v>5</v>
      </c>
      <c r="Z57" s="6">
        <v>1.1599999999999999</v>
      </c>
      <c r="AA57" t="e">
        <f t="shared" si="9"/>
        <v>#N/A</v>
      </c>
      <c r="AB57">
        <f t="shared" si="10"/>
        <v>1.1599999999999999</v>
      </c>
      <c r="AI57" s="3" t="s">
        <v>57</v>
      </c>
      <c r="AJ57">
        <v>20.383333333333329</v>
      </c>
      <c r="AY57" s="12"/>
      <c r="AZ57" s="13"/>
      <c r="BA57" s="14"/>
    </row>
    <row r="58" spans="1:67" x14ac:dyDescent="0.25">
      <c r="A58" t="s">
        <v>33</v>
      </c>
      <c r="B58">
        <v>6</v>
      </c>
      <c r="C58">
        <v>1</v>
      </c>
      <c r="D58">
        <v>6</v>
      </c>
      <c r="E58">
        <v>3</v>
      </c>
      <c r="F58">
        <v>5</v>
      </c>
      <c r="G58">
        <v>3</v>
      </c>
      <c r="H58">
        <v>5</v>
      </c>
      <c r="I58">
        <v>5</v>
      </c>
      <c r="J58">
        <v>3</v>
      </c>
      <c r="K58">
        <v>4</v>
      </c>
      <c r="L58">
        <v>5</v>
      </c>
      <c r="M58">
        <v>5</v>
      </c>
      <c r="N58">
        <v>3</v>
      </c>
      <c r="O58">
        <v>6</v>
      </c>
      <c r="P58">
        <v>6</v>
      </c>
      <c r="Q58">
        <v>6</v>
      </c>
      <c r="R58">
        <v>4</v>
      </c>
      <c r="S58">
        <v>3</v>
      </c>
      <c r="T58">
        <v>3</v>
      </c>
      <c r="U58">
        <v>5</v>
      </c>
      <c r="V58">
        <f t="shared" si="8"/>
        <v>80</v>
      </c>
      <c r="Y58" s="7">
        <v>6</v>
      </c>
      <c r="Z58" s="7">
        <v>0.32</v>
      </c>
      <c r="AA58">
        <f t="shared" si="9"/>
        <v>0.32</v>
      </c>
      <c r="AB58" t="e">
        <f t="shared" si="10"/>
        <v>#N/A</v>
      </c>
      <c r="AY58" s="12"/>
      <c r="AZ58" s="13"/>
      <c r="BA58" s="14"/>
    </row>
    <row r="59" spans="1:67" x14ac:dyDescent="0.25">
      <c r="A59" t="s">
        <v>32</v>
      </c>
      <c r="B59">
        <v>6</v>
      </c>
      <c r="C59">
        <v>2</v>
      </c>
      <c r="D59">
        <v>5</v>
      </c>
      <c r="E59">
        <v>5</v>
      </c>
      <c r="F59">
        <v>6</v>
      </c>
      <c r="G59">
        <v>4</v>
      </c>
      <c r="H59">
        <v>4</v>
      </c>
      <c r="I59">
        <v>4</v>
      </c>
      <c r="J59">
        <v>4</v>
      </c>
      <c r="K59">
        <v>4</v>
      </c>
      <c r="L59">
        <v>6</v>
      </c>
      <c r="M59">
        <v>4</v>
      </c>
      <c r="N59">
        <v>3</v>
      </c>
      <c r="O59">
        <v>4</v>
      </c>
      <c r="P59">
        <v>4</v>
      </c>
      <c r="Q59">
        <v>4</v>
      </c>
      <c r="R59">
        <v>5</v>
      </c>
      <c r="S59">
        <v>4</v>
      </c>
      <c r="T59">
        <v>5</v>
      </c>
      <c r="U59">
        <v>4</v>
      </c>
      <c r="V59">
        <f t="shared" si="8"/>
        <v>79</v>
      </c>
      <c r="Y59" s="6">
        <v>7</v>
      </c>
      <c r="Z59" s="6">
        <v>1.47</v>
      </c>
      <c r="AA59">
        <f t="shared" si="9"/>
        <v>1.47</v>
      </c>
      <c r="AB59" t="e">
        <f t="shared" si="10"/>
        <v>#N/A</v>
      </c>
      <c r="AY59" s="12"/>
      <c r="AZ59" s="13"/>
      <c r="BA59" s="14"/>
    </row>
    <row r="60" spans="1:67" x14ac:dyDescent="0.25">
      <c r="A60" t="s">
        <v>32</v>
      </c>
      <c r="B60">
        <v>6</v>
      </c>
      <c r="C60">
        <v>1</v>
      </c>
      <c r="D60">
        <v>6</v>
      </c>
      <c r="E60">
        <v>4</v>
      </c>
      <c r="F60">
        <v>5</v>
      </c>
      <c r="G60">
        <v>3</v>
      </c>
      <c r="H60">
        <v>4</v>
      </c>
      <c r="I60">
        <v>5</v>
      </c>
      <c r="J60">
        <v>4</v>
      </c>
      <c r="K60">
        <v>4</v>
      </c>
      <c r="L60">
        <v>4</v>
      </c>
      <c r="M60">
        <v>5</v>
      </c>
      <c r="N60">
        <v>6</v>
      </c>
      <c r="O60">
        <v>3</v>
      </c>
      <c r="P60">
        <v>5</v>
      </c>
      <c r="Q60">
        <v>4</v>
      </c>
      <c r="R60">
        <v>5</v>
      </c>
      <c r="S60">
        <v>4</v>
      </c>
      <c r="T60">
        <v>3</v>
      </c>
      <c r="U60">
        <v>4</v>
      </c>
      <c r="V60">
        <f t="shared" si="8"/>
        <v>78</v>
      </c>
      <c r="Y60" s="7">
        <v>8</v>
      </c>
      <c r="Z60" s="7">
        <v>0.85</v>
      </c>
      <c r="AA60">
        <f t="shared" si="9"/>
        <v>0.85</v>
      </c>
      <c r="AB60" t="e">
        <f t="shared" si="10"/>
        <v>#N/A</v>
      </c>
      <c r="AY60" s="15"/>
      <c r="AZ60" s="16"/>
      <c r="BA60" s="17"/>
    </row>
    <row r="61" spans="1:67" x14ac:dyDescent="0.25">
      <c r="A61" t="s">
        <v>47</v>
      </c>
      <c r="B61">
        <v>6</v>
      </c>
      <c r="C61">
        <v>1</v>
      </c>
      <c r="D61">
        <v>5</v>
      </c>
      <c r="E61">
        <v>4</v>
      </c>
      <c r="F61">
        <v>5</v>
      </c>
      <c r="G61">
        <v>4</v>
      </c>
      <c r="H61">
        <v>4</v>
      </c>
      <c r="I61">
        <v>5</v>
      </c>
      <c r="J61">
        <v>3</v>
      </c>
      <c r="K61">
        <v>4</v>
      </c>
      <c r="L61">
        <v>5</v>
      </c>
      <c r="M61">
        <v>7</v>
      </c>
      <c r="N61">
        <v>3</v>
      </c>
      <c r="O61">
        <v>4</v>
      </c>
      <c r="P61">
        <v>4</v>
      </c>
      <c r="Q61">
        <v>4</v>
      </c>
      <c r="R61">
        <v>4</v>
      </c>
      <c r="S61">
        <v>4</v>
      </c>
      <c r="T61">
        <v>4</v>
      </c>
      <c r="U61">
        <v>4</v>
      </c>
      <c r="V61">
        <f t="shared" si="8"/>
        <v>77</v>
      </c>
      <c r="Y61" s="6">
        <v>9</v>
      </c>
      <c r="Z61" s="6">
        <v>1.23</v>
      </c>
      <c r="AA61">
        <f t="shared" si="9"/>
        <v>1.23</v>
      </c>
      <c r="AB61" t="e">
        <f t="shared" si="10"/>
        <v>#N/A</v>
      </c>
      <c r="AL61" s="1" t="s">
        <v>0</v>
      </c>
      <c r="AM61" s="1" t="s">
        <v>1</v>
      </c>
      <c r="AN61" s="1" t="s">
        <v>2</v>
      </c>
      <c r="AO61" s="1" t="s">
        <v>3</v>
      </c>
      <c r="AP61" s="1" t="s">
        <v>4</v>
      </c>
      <c r="AQ61" s="1" t="s">
        <v>5</v>
      </c>
      <c r="AR61" s="1" t="s">
        <v>6</v>
      </c>
      <c r="AS61" s="1" t="s">
        <v>7</v>
      </c>
      <c r="AT61" s="1" t="s">
        <v>8</v>
      </c>
      <c r="AU61" s="1" t="s">
        <v>9</v>
      </c>
      <c r="AV61" s="1" t="s">
        <v>10</v>
      </c>
      <c r="AW61" s="1" t="s">
        <v>11</v>
      </c>
      <c r="AX61" s="1" t="s">
        <v>12</v>
      </c>
      <c r="AY61" s="1" t="s">
        <v>13</v>
      </c>
      <c r="AZ61" s="1" t="s">
        <v>14</v>
      </c>
      <c r="BA61" s="1" t="s">
        <v>15</v>
      </c>
      <c r="BB61" s="1" t="s">
        <v>16</v>
      </c>
      <c r="BC61" s="1" t="s">
        <v>17</v>
      </c>
      <c r="BD61" s="1" t="s">
        <v>18</v>
      </c>
      <c r="BE61" s="1" t="s">
        <v>19</v>
      </c>
      <c r="BF61" s="1" t="s">
        <v>20</v>
      </c>
      <c r="BG61" s="1" t="s">
        <v>21</v>
      </c>
      <c r="BH61" s="1" t="s">
        <v>66</v>
      </c>
      <c r="BI61" s="1" t="s">
        <v>65</v>
      </c>
      <c r="BJ61" s="1" t="s">
        <v>64</v>
      </c>
      <c r="BK61" s="1" t="s">
        <v>67</v>
      </c>
      <c r="BL61" s="1" t="s">
        <v>88</v>
      </c>
      <c r="BM61" s="1" t="s">
        <v>69</v>
      </c>
      <c r="BN61" s="1" t="s">
        <v>89</v>
      </c>
      <c r="BO61" s="1" t="s">
        <v>90</v>
      </c>
    </row>
    <row r="62" spans="1:67" x14ac:dyDescent="0.25">
      <c r="Y62" s="7">
        <v>10</v>
      </c>
      <c r="Z62" s="7">
        <v>1.83</v>
      </c>
      <c r="AA62">
        <f t="shared" si="9"/>
        <v>1.83</v>
      </c>
      <c r="AB62" t="e">
        <f t="shared" si="10"/>
        <v>#N/A</v>
      </c>
      <c r="AL62" t="s">
        <v>34</v>
      </c>
      <c r="AM62">
        <v>12</v>
      </c>
      <c r="AN62">
        <v>1</v>
      </c>
      <c r="AO62">
        <v>5</v>
      </c>
      <c r="AP62">
        <v>4</v>
      </c>
      <c r="AQ62">
        <v>6</v>
      </c>
      <c r="AR62">
        <v>4</v>
      </c>
      <c r="AS62">
        <v>6</v>
      </c>
      <c r="AT62">
        <v>6</v>
      </c>
      <c r="AU62">
        <v>4</v>
      </c>
      <c r="AV62">
        <v>4</v>
      </c>
      <c r="AW62">
        <v>3</v>
      </c>
      <c r="AX62">
        <v>8</v>
      </c>
      <c r="AY62">
        <v>5</v>
      </c>
      <c r="AZ62">
        <v>6</v>
      </c>
      <c r="BA62">
        <v>6</v>
      </c>
      <c r="BB62">
        <v>10</v>
      </c>
      <c r="BC62">
        <v>5</v>
      </c>
      <c r="BD62">
        <v>2</v>
      </c>
      <c r="BE62">
        <v>5</v>
      </c>
      <c r="BF62">
        <v>8</v>
      </c>
      <c r="BG62">
        <f t="shared" ref="BG62:BG93" si="11">SUM(AO62:BF62)</f>
        <v>97</v>
      </c>
      <c r="BH62" cm="1">
        <f t="array" ref="BH62">SUMPRODUCT(--($AO62:$BF62 = TRANSPOSE($Y$3:$Y$20)))</f>
        <v>3</v>
      </c>
      <c r="BI62" cm="1">
        <f t="array" ref="BI62">SUMPRODUCT(--($AO62:$BF62 = (TRANSPOSE($Y$3:$Y$20)) - 1))</f>
        <v>2</v>
      </c>
      <c r="BJ62" cm="1">
        <f t="array" ref="BJ62">SUMPRODUCT(--($AO62:$BF62 = (TRANSPOSE($Y$3:$Y$20)) - 2))</f>
        <v>0</v>
      </c>
      <c r="BK62" cm="1">
        <f t="array" ref="BK62">SUMPRODUCT(--($AO62:$BF62 = (TRANSPOSE($Y$3:$Y$20)) + 1))</f>
        <v>5</v>
      </c>
      <c r="BL62" cm="1">
        <f t="array" ref="BL62">SUMPRODUCT(--($AO62:$BF62 = (TRANSPOSE($Y$3:$Y$20)) + 2))</f>
        <v>5</v>
      </c>
      <c r="BM62" cm="1">
        <f t="array" ref="BM62">SUMPRODUCT(--($AO62:$BF62 = (TRANSPOSE($Y$3:$Y$20)) + 3))</f>
        <v>0</v>
      </c>
      <c r="BN62" cm="1">
        <f t="array" ref="BN62">SUMPRODUCT(--($AO62:$BF62 &gt;= (TRANSPOSE($Y$3:$Y$20)) + 4))</f>
        <v>3</v>
      </c>
      <c r="BO62">
        <f t="shared" ref="BO62:BO93" si="12">$BG62 - 71 - $AM62</f>
        <v>14</v>
      </c>
    </row>
    <row r="63" spans="1:67" x14ac:dyDescent="0.25">
      <c r="C63" t="s">
        <v>58</v>
      </c>
      <c r="D63" t="s">
        <v>3</v>
      </c>
      <c r="E63" t="s">
        <v>4</v>
      </c>
      <c r="F63" t="s">
        <v>5</v>
      </c>
      <c r="G63" t="s">
        <v>6</v>
      </c>
      <c r="H63" t="s">
        <v>7</v>
      </c>
      <c r="I63" t="s">
        <v>8</v>
      </c>
      <c r="J63" t="s">
        <v>9</v>
      </c>
      <c r="K63" t="s">
        <v>10</v>
      </c>
      <c r="L63" t="s">
        <v>11</v>
      </c>
      <c r="M63" t="s">
        <v>12</v>
      </c>
      <c r="N63" t="s">
        <v>13</v>
      </c>
      <c r="O63" t="s">
        <v>14</v>
      </c>
      <c r="P63" t="s">
        <v>15</v>
      </c>
      <c r="Q63" t="s">
        <v>16</v>
      </c>
      <c r="R63" t="s">
        <v>17</v>
      </c>
      <c r="S63" t="s">
        <v>18</v>
      </c>
      <c r="T63" t="s">
        <v>19</v>
      </c>
      <c r="U63" t="s">
        <v>20</v>
      </c>
      <c r="Y63" s="6">
        <v>11</v>
      </c>
      <c r="Z63" s="6">
        <v>1.08</v>
      </c>
      <c r="AA63">
        <f t="shared" si="9"/>
        <v>1.08</v>
      </c>
      <c r="AB63" t="e">
        <f t="shared" si="10"/>
        <v>#N/A</v>
      </c>
      <c r="AL63" t="s">
        <v>52</v>
      </c>
      <c r="AM63">
        <v>30</v>
      </c>
      <c r="AN63">
        <v>1</v>
      </c>
      <c r="AO63">
        <v>9</v>
      </c>
      <c r="AP63">
        <v>6</v>
      </c>
      <c r="AQ63">
        <v>7</v>
      </c>
      <c r="AR63">
        <v>6</v>
      </c>
      <c r="AS63">
        <v>6</v>
      </c>
      <c r="AT63">
        <v>7</v>
      </c>
      <c r="AU63">
        <v>6</v>
      </c>
      <c r="AV63">
        <v>4</v>
      </c>
      <c r="AW63">
        <v>6</v>
      </c>
      <c r="AX63">
        <v>6</v>
      </c>
      <c r="AY63">
        <v>4</v>
      </c>
      <c r="AZ63">
        <v>6</v>
      </c>
      <c r="BA63">
        <v>8</v>
      </c>
      <c r="BB63">
        <v>7</v>
      </c>
      <c r="BC63">
        <v>6</v>
      </c>
      <c r="BD63">
        <v>3</v>
      </c>
      <c r="BE63">
        <v>8</v>
      </c>
      <c r="BF63">
        <v>6</v>
      </c>
      <c r="BG63">
        <f t="shared" si="11"/>
        <v>111</v>
      </c>
      <c r="BH63" cm="1">
        <f t="array" ref="BH63">SUMPRODUCT(--($AO63:$BF63 = TRANSPOSE($Y$3:$Y$20)))</f>
        <v>2</v>
      </c>
      <c r="BI63" cm="1">
        <f t="array" ref="BI63">SUMPRODUCT(--($AO63:$BF63 = (TRANSPOSE($Y$3:$Y$20)) - 1))</f>
        <v>0</v>
      </c>
      <c r="BJ63" cm="1">
        <f t="array" ref="BJ63">SUMPRODUCT(--($AO63:$BF63 = (TRANSPOSE($Y$3:$Y$20)) - 2))</f>
        <v>0</v>
      </c>
      <c r="BK63" cm="1">
        <f t="array" ref="BK63">SUMPRODUCT(--($AO63:$BF63 = (TRANSPOSE($Y$3:$Y$20)) + 1))</f>
        <v>1</v>
      </c>
      <c r="BL63" cm="1">
        <f t="array" ref="BL63">SUMPRODUCT(--($AO63:$BF63 = (TRANSPOSE($Y$3:$Y$20)) + 2))</f>
        <v>9</v>
      </c>
      <c r="BM63" cm="1">
        <f t="array" ref="BM63">SUMPRODUCT(--($AO63:$BF63 = (TRANSPOSE($Y$3:$Y$20)) + 3))</f>
        <v>3</v>
      </c>
      <c r="BN63" cm="1">
        <f t="array" ref="BN63">SUMPRODUCT(--($AO63:$BF63 &gt;= (TRANSPOSE($Y$3:$Y$20)) + 4))</f>
        <v>3</v>
      </c>
      <c r="BO63">
        <f t="shared" si="12"/>
        <v>10</v>
      </c>
    </row>
    <row r="64" spans="1:67" x14ac:dyDescent="0.25">
      <c r="C64" t="s">
        <v>54</v>
      </c>
      <c r="D64">
        <v>5</v>
      </c>
      <c r="E64">
        <v>4</v>
      </c>
      <c r="F64">
        <v>4</v>
      </c>
      <c r="G64">
        <v>3</v>
      </c>
      <c r="H64">
        <v>4</v>
      </c>
      <c r="I64">
        <v>5</v>
      </c>
      <c r="J64">
        <v>3</v>
      </c>
      <c r="K64">
        <v>4</v>
      </c>
      <c r="L64">
        <v>4</v>
      </c>
      <c r="M64">
        <v>4</v>
      </c>
      <c r="N64">
        <v>3</v>
      </c>
      <c r="O64">
        <v>4</v>
      </c>
      <c r="P64">
        <v>4</v>
      </c>
      <c r="Q64">
        <v>5</v>
      </c>
      <c r="R64">
        <v>4</v>
      </c>
      <c r="S64">
        <v>3</v>
      </c>
      <c r="T64">
        <v>4</v>
      </c>
      <c r="U64">
        <v>4</v>
      </c>
      <c r="Y64" s="7">
        <v>12</v>
      </c>
      <c r="Z64" s="7">
        <v>0.97</v>
      </c>
      <c r="AA64">
        <f t="shared" si="9"/>
        <v>0.97</v>
      </c>
      <c r="AB64" t="e">
        <f t="shared" si="10"/>
        <v>#N/A</v>
      </c>
      <c r="AL64" t="s">
        <v>46</v>
      </c>
      <c r="AM64">
        <v>18</v>
      </c>
      <c r="AN64">
        <v>1</v>
      </c>
      <c r="AO64">
        <v>6</v>
      </c>
      <c r="AP64">
        <v>8</v>
      </c>
      <c r="AQ64">
        <v>5</v>
      </c>
      <c r="AR64">
        <v>5</v>
      </c>
      <c r="AS64">
        <v>4</v>
      </c>
      <c r="AT64">
        <v>6</v>
      </c>
      <c r="AU64">
        <v>5</v>
      </c>
      <c r="AV64">
        <v>5</v>
      </c>
      <c r="AW64">
        <v>5</v>
      </c>
      <c r="AX64">
        <v>6</v>
      </c>
      <c r="AY64">
        <v>5</v>
      </c>
      <c r="AZ64">
        <v>5</v>
      </c>
      <c r="BA64">
        <v>5</v>
      </c>
      <c r="BB64">
        <v>7</v>
      </c>
      <c r="BC64">
        <v>6</v>
      </c>
      <c r="BD64">
        <v>3</v>
      </c>
      <c r="BE64">
        <v>6</v>
      </c>
      <c r="BF64">
        <v>7</v>
      </c>
      <c r="BG64">
        <f t="shared" si="11"/>
        <v>99</v>
      </c>
      <c r="BH64" cm="1">
        <f t="array" ref="BH64">SUMPRODUCT(--($AO64:$BF64 = TRANSPOSE($Y$3:$Y$20)))</f>
        <v>2</v>
      </c>
      <c r="BI64" cm="1">
        <f t="array" ref="BI64">SUMPRODUCT(--($AO64:$BF64 = (TRANSPOSE($Y$3:$Y$20)) - 1))</f>
        <v>0</v>
      </c>
      <c r="BJ64" cm="1">
        <f t="array" ref="BJ64">SUMPRODUCT(--($AO64:$BF64 = (TRANSPOSE($Y$3:$Y$20)) - 2))</f>
        <v>0</v>
      </c>
      <c r="BK64" cm="1">
        <f t="array" ref="BK64">SUMPRODUCT(--($AO64:$BF64 = (TRANSPOSE($Y$3:$Y$20)) + 1))</f>
        <v>7</v>
      </c>
      <c r="BL64" cm="1">
        <f t="array" ref="BL64">SUMPRODUCT(--($AO64:$BF64 = (TRANSPOSE($Y$3:$Y$20)) + 2))</f>
        <v>7</v>
      </c>
      <c r="BM64" cm="1">
        <f t="array" ref="BM64">SUMPRODUCT(--($AO64:$BF64 = (TRANSPOSE($Y$3:$Y$20)) + 3))</f>
        <v>1</v>
      </c>
      <c r="BN64" cm="1">
        <f t="array" ref="BN64">SUMPRODUCT(--($AO64:$BF64 &gt;= (TRANSPOSE($Y$3:$Y$20)) + 4))</f>
        <v>1</v>
      </c>
      <c r="BO64">
        <f t="shared" si="12"/>
        <v>10</v>
      </c>
    </row>
    <row r="65" spans="3:74" x14ac:dyDescent="0.25">
      <c r="C65" t="s">
        <v>55</v>
      </c>
      <c r="D65" cm="1">
        <f t="array" ref="D65">SUM((Table1[Hole 1]/60), -D64)</f>
        <v>1.0499999999999954</v>
      </c>
      <c r="E65" cm="1">
        <f t="array" ref="E65">SUM((Table1[Hole 2]/60), -E64)</f>
        <v>1.43333333333333</v>
      </c>
      <c r="F65" cm="1">
        <f t="array" ref="F65">SUM((Table1[Hole 3]/60), -F64)</f>
        <v>0.84999999999999964</v>
      </c>
      <c r="G65" cm="1">
        <f t="array" ref="G65">SUM((Table1[Hole 4]/60), -G64)</f>
        <v>1.033333333333335</v>
      </c>
      <c r="H65" cm="1">
        <f t="array" ref="H65">SUM((Table1[Hole 5]/60), -H64)</f>
        <v>1.1666666666666652</v>
      </c>
      <c r="I65" cm="1">
        <f t="array" ref="I65">SUM((Table1[Hole 6]/60), -I64)</f>
        <v>0.31666666666666465</v>
      </c>
      <c r="J65" cm="1">
        <f t="array" ref="J65">SUM((Table1[Hole 7]/60), -J64)</f>
        <v>1.4666666666666677</v>
      </c>
      <c r="K65" cm="1">
        <f t="array" ref="K65">SUM((Table1[Hole 8]/60), -K64)</f>
        <v>0.85000000000000053</v>
      </c>
      <c r="L65" cm="1">
        <f t="array" ref="L65">SUM((Table1[Hole 9]/60), -L64)</f>
        <v>1.2333333333333325</v>
      </c>
      <c r="M65" cm="1">
        <f t="array" ref="M65">SUM((Table1[Hole 10]/60), -M64)</f>
        <v>1.8333333333333304</v>
      </c>
      <c r="N65" cm="1">
        <f t="array" ref="N65">SUM((Table1[Hole 11]/60), -N64)</f>
        <v>1.083333333333333</v>
      </c>
      <c r="O65" cm="1">
        <f t="array" ref="O65">SUM((Table1[Hole 12]/60), -O64)</f>
        <v>0.96666666666666679</v>
      </c>
      <c r="P65" cm="1">
        <f t="array" ref="P65">SUM((Table1[Hole 13]/60), -P64)</f>
        <v>1.0499999999999998</v>
      </c>
      <c r="Q65" cm="1">
        <f t="array" ref="Q65">SUM((Table1[Hole 14]/60), -Q64)</f>
        <v>1.0166666666666639</v>
      </c>
      <c r="R65" cm="1">
        <f t="array" ref="R65">SUM((Table1[Hole 15]/60), -R64)</f>
        <v>1.299999999999998</v>
      </c>
      <c r="S65" cm="1">
        <f t="array" ref="S65">SUM((Table1[Hole 16]/60), -S64)</f>
        <v>0.54999999999999982</v>
      </c>
      <c r="T65" cm="1">
        <f t="array" ref="T65">SUM((Table1[Hole 17]/60), -T64)</f>
        <v>1.4166666666666643</v>
      </c>
      <c r="U65" cm="1">
        <f t="array" ref="U65">SUM((Table1[Hole 18]/60), -U64)</f>
        <v>1.7666666666666639</v>
      </c>
      <c r="Y65" s="6">
        <v>13</v>
      </c>
      <c r="Z65" s="6">
        <v>1.05</v>
      </c>
      <c r="AA65">
        <f t="shared" si="9"/>
        <v>1.05</v>
      </c>
      <c r="AB65" t="e">
        <f t="shared" si="10"/>
        <v>#N/A</v>
      </c>
      <c r="AL65" t="s">
        <v>45</v>
      </c>
      <c r="AM65">
        <v>36</v>
      </c>
      <c r="AN65">
        <v>1</v>
      </c>
      <c r="AO65">
        <v>7</v>
      </c>
      <c r="AP65">
        <v>6</v>
      </c>
      <c r="AQ65">
        <v>6</v>
      </c>
      <c r="AR65">
        <v>5</v>
      </c>
      <c r="AS65">
        <v>6</v>
      </c>
      <c r="AT65">
        <v>7</v>
      </c>
      <c r="AU65">
        <v>5</v>
      </c>
      <c r="AV65">
        <v>9</v>
      </c>
      <c r="AW65">
        <v>6</v>
      </c>
      <c r="AX65">
        <v>6</v>
      </c>
      <c r="AY65">
        <v>4</v>
      </c>
      <c r="AZ65">
        <v>6</v>
      </c>
      <c r="BA65">
        <v>8</v>
      </c>
      <c r="BB65">
        <v>10</v>
      </c>
      <c r="BC65">
        <v>6</v>
      </c>
      <c r="BD65">
        <v>5</v>
      </c>
      <c r="BE65">
        <v>7</v>
      </c>
      <c r="BF65">
        <v>7</v>
      </c>
      <c r="BG65">
        <f t="shared" si="11"/>
        <v>116</v>
      </c>
      <c r="BH65" cm="1">
        <f t="array" ref="BH65">SUMPRODUCT(--($AO65:$BF65 = TRANSPOSE($Y$3:$Y$20)))</f>
        <v>0</v>
      </c>
      <c r="BI65" cm="1">
        <f t="array" ref="BI65">SUMPRODUCT(--($AO65:$BF65 = (TRANSPOSE($Y$3:$Y$20)) - 1))</f>
        <v>0</v>
      </c>
      <c r="BJ65" cm="1">
        <f t="array" ref="BJ65">SUMPRODUCT(--($AO65:$BF65 = (TRANSPOSE($Y$3:$Y$20)) - 2))</f>
        <v>0</v>
      </c>
      <c r="BK65" cm="1">
        <f t="array" ref="BK65">SUMPRODUCT(--($AO65:$BF65 = (TRANSPOSE($Y$3:$Y$20)) + 1))</f>
        <v>1</v>
      </c>
      <c r="BL65" cm="1">
        <f t="array" ref="BL65">SUMPRODUCT(--($AO65:$BF65 = (TRANSPOSE($Y$3:$Y$20)) + 2))</f>
        <v>12</v>
      </c>
      <c r="BM65" cm="1">
        <f t="array" ref="BM65">SUMPRODUCT(--($AO65:$BF65 = (TRANSPOSE($Y$3:$Y$20)) + 3))</f>
        <v>2</v>
      </c>
      <c r="BN65" cm="1">
        <f t="array" ref="BN65">SUMPRODUCT(--($AO65:$BF65 &gt;= (TRANSPOSE($Y$3:$Y$20)) + 4))</f>
        <v>3</v>
      </c>
      <c r="BO65">
        <f t="shared" si="12"/>
        <v>9</v>
      </c>
    </row>
    <row r="66" spans="3:74" x14ac:dyDescent="0.25">
      <c r="C66" t="s">
        <v>56</v>
      </c>
      <c r="D66">
        <f>MAX(Table1[Hole 1])</f>
        <v>11</v>
      </c>
      <c r="E66">
        <f>MAX(Table1[Hole 2])</f>
        <v>8</v>
      </c>
      <c r="F66">
        <f>MAX(Table1[Hole 3])</f>
        <v>7</v>
      </c>
      <c r="G66">
        <f>MAX(Table1[Hole 4])</f>
        <v>6</v>
      </c>
      <c r="H66">
        <f>MAX(Table1[Hole 5])</f>
        <v>11</v>
      </c>
      <c r="I66">
        <f>MAX(Table1[Hole 6])</f>
        <v>8</v>
      </c>
      <c r="J66">
        <f>MAX(Table1[Hole 7])</f>
        <v>7</v>
      </c>
      <c r="K66">
        <f>MAX(Table1[Hole 8])</f>
        <v>9</v>
      </c>
      <c r="L66">
        <f>MAX(Table1[Hole 9])</f>
        <v>8</v>
      </c>
      <c r="M66">
        <f>MAX(Table1[Hole 10])</f>
        <v>10</v>
      </c>
      <c r="N66">
        <f>MAX(Table1[Hole 11])</f>
        <v>7</v>
      </c>
      <c r="O66">
        <f>MAX(Table1[Hole 12])</f>
        <v>8</v>
      </c>
      <c r="P66">
        <f>MAX(Table1[Hole 13])</f>
        <v>9</v>
      </c>
      <c r="Q66">
        <f>MAX(Table1[Hole 14])</f>
        <v>10</v>
      </c>
      <c r="R66">
        <f>MAX(Table1[Hole 15])</f>
        <v>9</v>
      </c>
      <c r="S66">
        <f>MAX(Table1[Hole 16])</f>
        <v>6</v>
      </c>
      <c r="T66">
        <f>MAX(Table1[Hole 17])</f>
        <v>8</v>
      </c>
      <c r="U66">
        <f>MAX(Table1[Hole 18])</f>
        <v>8</v>
      </c>
      <c r="Y66" s="7">
        <v>14</v>
      </c>
      <c r="Z66" s="7">
        <v>1.02</v>
      </c>
      <c r="AA66">
        <f t="shared" si="9"/>
        <v>1.02</v>
      </c>
      <c r="AB66" t="e">
        <f t="shared" si="10"/>
        <v>#N/A</v>
      </c>
      <c r="AL66" t="s">
        <v>23</v>
      </c>
      <c r="AM66">
        <v>22</v>
      </c>
      <c r="AN66">
        <v>1</v>
      </c>
      <c r="AO66">
        <v>9</v>
      </c>
      <c r="AP66">
        <v>6</v>
      </c>
      <c r="AQ66">
        <v>4</v>
      </c>
      <c r="AR66">
        <v>4</v>
      </c>
      <c r="AS66">
        <v>4</v>
      </c>
      <c r="AT66">
        <v>6</v>
      </c>
      <c r="AU66">
        <v>5</v>
      </c>
      <c r="AV66">
        <v>7</v>
      </c>
      <c r="AW66">
        <v>7</v>
      </c>
      <c r="AX66">
        <v>6</v>
      </c>
      <c r="AY66">
        <v>4</v>
      </c>
      <c r="AZ66">
        <v>5</v>
      </c>
      <c r="BA66">
        <v>4</v>
      </c>
      <c r="BB66">
        <v>8</v>
      </c>
      <c r="BC66">
        <v>5</v>
      </c>
      <c r="BD66">
        <v>4</v>
      </c>
      <c r="BE66">
        <v>6</v>
      </c>
      <c r="BF66">
        <v>7</v>
      </c>
      <c r="BG66">
        <f t="shared" si="11"/>
        <v>101</v>
      </c>
      <c r="BH66" cm="1">
        <f t="array" ref="BH66">SUMPRODUCT(--($AO66:$BF66 = TRANSPOSE($Y$3:$Y$20)))</f>
        <v>3</v>
      </c>
      <c r="BI66" cm="1">
        <f t="array" ref="BI66">SUMPRODUCT(--($AO66:$BF66 = (TRANSPOSE($Y$3:$Y$20)) - 1))</f>
        <v>0</v>
      </c>
      <c r="BJ66" cm="1">
        <f t="array" ref="BJ66">SUMPRODUCT(--($AO66:$BF66 = (TRANSPOSE($Y$3:$Y$20)) - 2))</f>
        <v>0</v>
      </c>
      <c r="BK66" cm="1">
        <f t="array" ref="BK66">SUMPRODUCT(--($AO66:$BF66 = (TRANSPOSE($Y$3:$Y$20)) + 1))</f>
        <v>6</v>
      </c>
      <c r="BL66" cm="1">
        <f t="array" ref="BL66">SUMPRODUCT(--($AO66:$BF66 = (TRANSPOSE($Y$3:$Y$20)) + 2))</f>
        <v>4</v>
      </c>
      <c r="BM66" cm="1">
        <f t="array" ref="BM66">SUMPRODUCT(--($AO66:$BF66 = (TRANSPOSE($Y$3:$Y$20)) + 3))</f>
        <v>4</v>
      </c>
      <c r="BN66" cm="1">
        <f t="array" ref="BN66">SUMPRODUCT(--($AO66:$BF66 &gt;= (TRANSPOSE($Y$3:$Y$20)) + 4))</f>
        <v>1</v>
      </c>
      <c r="BO66">
        <f t="shared" si="12"/>
        <v>8</v>
      </c>
    </row>
    <row r="67" spans="3:74" x14ac:dyDescent="0.25">
      <c r="C67" t="s">
        <v>59</v>
      </c>
      <c r="D67">
        <f>AVERAGE(D2:D61)</f>
        <v>6.05</v>
      </c>
      <c r="E67">
        <f>AVERAGE(E2:E61)</f>
        <v>5.4333333333333336</v>
      </c>
      <c r="F67">
        <f>AVERAGE(F2:F61)</f>
        <v>4.8499999999999996</v>
      </c>
      <c r="G67">
        <f>AVERAGE(G2:G61)</f>
        <v>4.0333333333333332</v>
      </c>
      <c r="H67">
        <f>AVERAGE(H2:H61)</f>
        <v>5.166666666666667</v>
      </c>
      <c r="Y67" s="6">
        <v>15</v>
      </c>
      <c r="Z67" s="6">
        <v>1.3</v>
      </c>
      <c r="AA67">
        <f t="shared" si="9"/>
        <v>1.3</v>
      </c>
      <c r="AB67" t="e">
        <f t="shared" si="10"/>
        <v>#N/A</v>
      </c>
      <c r="AL67" t="s">
        <v>45</v>
      </c>
      <c r="AM67">
        <v>36</v>
      </c>
      <c r="AN67">
        <v>2</v>
      </c>
      <c r="AO67">
        <v>6</v>
      </c>
      <c r="AP67">
        <v>7</v>
      </c>
      <c r="AQ67">
        <v>6</v>
      </c>
      <c r="AR67">
        <v>4</v>
      </c>
      <c r="AS67">
        <v>5</v>
      </c>
      <c r="AT67">
        <v>7</v>
      </c>
      <c r="AU67">
        <v>5</v>
      </c>
      <c r="AV67">
        <v>7</v>
      </c>
      <c r="AW67">
        <v>5</v>
      </c>
      <c r="AX67">
        <v>7</v>
      </c>
      <c r="AY67">
        <v>5</v>
      </c>
      <c r="AZ67">
        <v>6</v>
      </c>
      <c r="BA67">
        <v>8</v>
      </c>
      <c r="BB67">
        <v>8</v>
      </c>
      <c r="BC67">
        <v>9</v>
      </c>
      <c r="BD67">
        <v>5</v>
      </c>
      <c r="BE67">
        <v>7</v>
      </c>
      <c r="BF67">
        <v>6</v>
      </c>
      <c r="BG67">
        <f t="shared" si="11"/>
        <v>113</v>
      </c>
      <c r="BH67" cm="1">
        <f t="array" ref="BH67">SUMPRODUCT(--($AO67:$BF67 = TRANSPOSE($Y$3:$Y$20)))</f>
        <v>0</v>
      </c>
      <c r="BI67" cm="1">
        <f t="array" ref="BI67">SUMPRODUCT(--($AO67:$BF67 = (TRANSPOSE($Y$3:$Y$20)) - 1))</f>
        <v>0</v>
      </c>
      <c r="BJ67" cm="1">
        <f t="array" ref="BJ67">SUMPRODUCT(--($AO67:$BF67 = (TRANSPOSE($Y$3:$Y$20)) - 2))</f>
        <v>0</v>
      </c>
      <c r="BK67" cm="1">
        <f t="array" ref="BK67">SUMPRODUCT(--($AO67:$BF67 = (TRANSPOSE($Y$3:$Y$20)) + 1))</f>
        <v>4</v>
      </c>
      <c r="BL67" cm="1">
        <f t="array" ref="BL67">SUMPRODUCT(--($AO67:$BF67 = (TRANSPOSE($Y$3:$Y$20)) + 2))</f>
        <v>7</v>
      </c>
      <c r="BM67" cm="1">
        <f t="array" ref="BM67">SUMPRODUCT(--($AO67:$BF67 = (TRANSPOSE($Y$3:$Y$20)) + 3))</f>
        <v>5</v>
      </c>
      <c r="BN67" cm="1">
        <f t="array" ref="BN67">SUMPRODUCT(--($AO67:$BF67 &gt;= (TRANSPOSE($Y$3:$Y$20)) + 4))</f>
        <v>2</v>
      </c>
      <c r="BO67">
        <f t="shared" si="12"/>
        <v>6</v>
      </c>
      <c r="BT67" s="2" t="s">
        <v>87</v>
      </c>
      <c r="BU67" t="s">
        <v>102</v>
      </c>
      <c r="BV67" t="s">
        <v>100</v>
      </c>
    </row>
    <row r="68" spans="3:74" x14ac:dyDescent="0.25">
      <c r="Y68" s="7">
        <v>16</v>
      </c>
      <c r="Z68" s="7">
        <v>0.55000000000000004</v>
      </c>
      <c r="AA68">
        <f t="shared" si="9"/>
        <v>0.55000000000000004</v>
      </c>
      <c r="AB68" t="e">
        <f t="shared" si="10"/>
        <v>#N/A</v>
      </c>
      <c r="AL68" t="s">
        <v>42</v>
      </c>
      <c r="AM68">
        <v>28</v>
      </c>
      <c r="AN68">
        <v>2</v>
      </c>
      <c r="AO68">
        <v>8</v>
      </c>
      <c r="AP68">
        <v>8</v>
      </c>
      <c r="AQ68">
        <v>4</v>
      </c>
      <c r="AR68">
        <v>3</v>
      </c>
      <c r="AS68">
        <v>6</v>
      </c>
      <c r="AT68">
        <v>6</v>
      </c>
      <c r="AU68">
        <v>3</v>
      </c>
      <c r="AV68">
        <v>6</v>
      </c>
      <c r="AW68">
        <v>5</v>
      </c>
      <c r="AX68">
        <v>6</v>
      </c>
      <c r="AY68">
        <v>5</v>
      </c>
      <c r="AZ68">
        <v>6</v>
      </c>
      <c r="BA68">
        <v>8</v>
      </c>
      <c r="BB68">
        <v>7</v>
      </c>
      <c r="BC68">
        <v>4</v>
      </c>
      <c r="BD68">
        <v>5</v>
      </c>
      <c r="BE68">
        <v>7</v>
      </c>
      <c r="BF68">
        <v>8</v>
      </c>
      <c r="BG68">
        <f t="shared" si="11"/>
        <v>105</v>
      </c>
      <c r="BH68" cm="1">
        <f t="array" ref="BH68">SUMPRODUCT(--($AO68:$BF68 = TRANSPOSE($Y$3:$Y$20)))</f>
        <v>4</v>
      </c>
      <c r="BI68" cm="1">
        <f t="array" ref="BI68">SUMPRODUCT(--($AO68:$BF68 = (TRANSPOSE($Y$3:$Y$20)) - 1))</f>
        <v>0</v>
      </c>
      <c r="BJ68" cm="1">
        <f t="array" ref="BJ68">SUMPRODUCT(--($AO68:$BF68 = (TRANSPOSE($Y$3:$Y$20)) - 2))</f>
        <v>0</v>
      </c>
      <c r="BK68" cm="1">
        <f t="array" ref="BK68">SUMPRODUCT(--($AO68:$BF68 = (TRANSPOSE($Y$3:$Y$20)) + 1))</f>
        <v>2</v>
      </c>
      <c r="BL68" cm="1">
        <f t="array" ref="BL68">SUMPRODUCT(--($AO68:$BF68 = (TRANSPOSE($Y$3:$Y$20)) + 2))</f>
        <v>7</v>
      </c>
      <c r="BM68" cm="1">
        <f t="array" ref="BM68">SUMPRODUCT(--($AO68:$BF68 = (TRANSPOSE($Y$3:$Y$20)) + 3))</f>
        <v>2</v>
      </c>
      <c r="BN68" cm="1">
        <f t="array" ref="BN68">SUMPRODUCT(--($AO68:$BF68 &gt;= (TRANSPOSE($Y$3:$Y$20)) + 4))</f>
        <v>3</v>
      </c>
      <c r="BO68">
        <f t="shared" si="12"/>
        <v>6</v>
      </c>
      <c r="BT68" s="3" t="s">
        <v>22</v>
      </c>
      <c r="BU68">
        <v>-2</v>
      </c>
      <c r="BV68">
        <v>176</v>
      </c>
    </row>
    <row r="69" spans="3:74" x14ac:dyDescent="0.25">
      <c r="Y69" s="6">
        <v>17</v>
      </c>
      <c r="Z69" s="6">
        <v>1.42</v>
      </c>
      <c r="AA69">
        <f t="shared" si="9"/>
        <v>1.42</v>
      </c>
      <c r="AB69" t="e">
        <f t="shared" si="10"/>
        <v>#N/A</v>
      </c>
      <c r="AL69" t="s">
        <v>46</v>
      </c>
      <c r="AM69">
        <v>18</v>
      </c>
      <c r="AN69">
        <v>2</v>
      </c>
      <c r="AO69">
        <v>6</v>
      </c>
      <c r="AP69">
        <v>6</v>
      </c>
      <c r="AQ69">
        <v>5</v>
      </c>
      <c r="AR69">
        <v>4</v>
      </c>
      <c r="AS69">
        <v>4</v>
      </c>
      <c r="AT69">
        <v>4</v>
      </c>
      <c r="AU69">
        <v>4</v>
      </c>
      <c r="AV69">
        <v>3</v>
      </c>
      <c r="AW69">
        <v>4</v>
      </c>
      <c r="AX69">
        <v>9</v>
      </c>
      <c r="AY69">
        <v>5</v>
      </c>
      <c r="AZ69">
        <v>6</v>
      </c>
      <c r="BA69">
        <v>4</v>
      </c>
      <c r="BB69">
        <v>6</v>
      </c>
      <c r="BC69">
        <v>6</v>
      </c>
      <c r="BD69">
        <v>6</v>
      </c>
      <c r="BE69">
        <v>8</v>
      </c>
      <c r="BF69">
        <v>5</v>
      </c>
      <c r="BG69">
        <f t="shared" si="11"/>
        <v>95</v>
      </c>
      <c r="BH69" cm="1">
        <f t="array" ref="BH69">SUMPRODUCT(--($AO69:$BF69 = TRANSPOSE($Y$3:$Y$20)))</f>
        <v>3</v>
      </c>
      <c r="BI69" cm="1">
        <f t="array" ref="BI69">SUMPRODUCT(--($AO69:$BF69 = (TRANSPOSE($Y$3:$Y$20)) - 1))</f>
        <v>2</v>
      </c>
      <c r="BJ69" cm="1">
        <f t="array" ref="BJ69">SUMPRODUCT(--($AO69:$BF69 = (TRANSPOSE($Y$3:$Y$20)) - 2))</f>
        <v>0</v>
      </c>
      <c r="BK69" cm="1">
        <f t="array" ref="BK69">SUMPRODUCT(--($AO69:$BF69 = (TRANSPOSE($Y$3:$Y$20)) + 1))</f>
        <v>6</v>
      </c>
      <c r="BL69" cm="1">
        <f t="array" ref="BL69">SUMPRODUCT(--($AO69:$BF69 = (TRANSPOSE($Y$3:$Y$20)) + 2))</f>
        <v>4</v>
      </c>
      <c r="BM69" cm="1">
        <f t="array" ref="BM69">SUMPRODUCT(--($AO69:$BF69 = (TRANSPOSE($Y$3:$Y$20)) + 3))</f>
        <v>1</v>
      </c>
      <c r="BN69" cm="1">
        <f t="array" ref="BN69">SUMPRODUCT(--($AO69:$BF69 &gt;= (TRANSPOSE($Y$3:$Y$20)) + 4))</f>
        <v>2</v>
      </c>
      <c r="BO69">
        <f t="shared" si="12"/>
        <v>6</v>
      </c>
      <c r="BT69" s="3" t="s">
        <v>25</v>
      </c>
      <c r="BU69">
        <v>0</v>
      </c>
      <c r="BV69">
        <v>182</v>
      </c>
    </row>
    <row r="70" spans="3:74" x14ac:dyDescent="0.25">
      <c r="Y70" s="7">
        <v>18</v>
      </c>
      <c r="Z70" s="7">
        <v>1.77</v>
      </c>
      <c r="AA70">
        <f t="shared" si="9"/>
        <v>1.77</v>
      </c>
      <c r="AB70" t="e">
        <f t="shared" si="10"/>
        <v>#N/A</v>
      </c>
      <c r="AL70" t="s">
        <v>52</v>
      </c>
      <c r="AM70">
        <v>30</v>
      </c>
      <c r="AN70">
        <v>2</v>
      </c>
      <c r="AO70">
        <v>6</v>
      </c>
      <c r="AP70">
        <v>8</v>
      </c>
      <c r="AQ70">
        <v>5</v>
      </c>
      <c r="AR70">
        <v>3</v>
      </c>
      <c r="AS70">
        <v>8</v>
      </c>
      <c r="AT70">
        <v>8</v>
      </c>
      <c r="AU70">
        <v>4</v>
      </c>
      <c r="AV70">
        <v>4</v>
      </c>
      <c r="AW70">
        <v>5</v>
      </c>
      <c r="AX70">
        <v>7</v>
      </c>
      <c r="AY70">
        <v>4</v>
      </c>
      <c r="AZ70">
        <v>7</v>
      </c>
      <c r="BA70">
        <v>7</v>
      </c>
      <c r="BB70">
        <v>6</v>
      </c>
      <c r="BC70">
        <v>7</v>
      </c>
      <c r="BD70">
        <v>3</v>
      </c>
      <c r="BE70">
        <v>8</v>
      </c>
      <c r="BF70">
        <v>6</v>
      </c>
      <c r="BG70">
        <f t="shared" si="11"/>
        <v>106</v>
      </c>
      <c r="BH70" cm="1">
        <f t="array" ref="BH70">SUMPRODUCT(--($AO70:$BF70 = TRANSPOSE($Y$3:$Y$20)))</f>
        <v>3</v>
      </c>
      <c r="BI70" cm="1">
        <f t="array" ref="BI70">SUMPRODUCT(--($AO70:$BF70 = (TRANSPOSE($Y$3:$Y$20)) - 1))</f>
        <v>0</v>
      </c>
      <c r="BJ70" cm="1">
        <f t="array" ref="BJ70">SUMPRODUCT(--($AO70:$BF70 = (TRANSPOSE($Y$3:$Y$20)) - 2))</f>
        <v>0</v>
      </c>
      <c r="BK70" cm="1">
        <f t="array" ref="BK70">SUMPRODUCT(--($AO70:$BF70 = (TRANSPOSE($Y$3:$Y$20)) + 1))</f>
        <v>6</v>
      </c>
      <c r="BL70" cm="1">
        <f t="array" ref="BL70">SUMPRODUCT(--($AO70:$BF70 = (TRANSPOSE($Y$3:$Y$20)) + 2))</f>
        <v>1</v>
      </c>
      <c r="BM70" cm="1">
        <f t="array" ref="BM70">SUMPRODUCT(--($AO70:$BF70 = (TRANSPOSE($Y$3:$Y$20)) + 3))</f>
        <v>5</v>
      </c>
      <c r="BN70" cm="1">
        <f t="array" ref="BN70">SUMPRODUCT(--($AO70:$BF70 &gt;= (TRANSPOSE($Y$3:$Y$20)) + 4))</f>
        <v>3</v>
      </c>
      <c r="BO70">
        <f t="shared" si="12"/>
        <v>5</v>
      </c>
      <c r="BT70" s="3" t="s">
        <v>43</v>
      </c>
      <c r="BU70">
        <v>8</v>
      </c>
      <c r="BV70">
        <v>196</v>
      </c>
    </row>
    <row r="71" spans="3:74" x14ac:dyDescent="0.25">
      <c r="AL71" t="s">
        <v>43</v>
      </c>
      <c r="AM71">
        <v>23</v>
      </c>
      <c r="AN71">
        <v>1</v>
      </c>
      <c r="AO71">
        <v>7</v>
      </c>
      <c r="AP71">
        <v>5</v>
      </c>
      <c r="AQ71">
        <v>4</v>
      </c>
      <c r="AR71">
        <v>6</v>
      </c>
      <c r="AS71">
        <v>11</v>
      </c>
      <c r="AT71">
        <v>7</v>
      </c>
      <c r="AU71">
        <v>4</v>
      </c>
      <c r="AV71">
        <v>4</v>
      </c>
      <c r="AW71">
        <v>4</v>
      </c>
      <c r="AX71">
        <v>4</v>
      </c>
      <c r="AY71">
        <v>6</v>
      </c>
      <c r="AZ71">
        <v>7</v>
      </c>
      <c r="BA71">
        <v>4</v>
      </c>
      <c r="BB71">
        <v>6</v>
      </c>
      <c r="BC71">
        <v>6</v>
      </c>
      <c r="BD71">
        <v>3</v>
      </c>
      <c r="BE71">
        <v>6</v>
      </c>
      <c r="BF71">
        <v>5</v>
      </c>
      <c r="BG71">
        <f t="shared" si="11"/>
        <v>99</v>
      </c>
      <c r="BH71" cm="1">
        <f t="array" ref="BH71">SUMPRODUCT(--($AO71:$BF71 = TRANSPOSE($Y$3:$Y$20)))</f>
        <v>6</v>
      </c>
      <c r="BI71" cm="1">
        <f t="array" ref="BI71">SUMPRODUCT(--($AO71:$BF71 = (TRANSPOSE($Y$3:$Y$20)) - 1))</f>
        <v>0</v>
      </c>
      <c r="BJ71" cm="1">
        <f t="array" ref="BJ71">SUMPRODUCT(--($AO71:$BF71 = (TRANSPOSE($Y$3:$Y$20)) - 2))</f>
        <v>0</v>
      </c>
      <c r="BK71" cm="1">
        <f t="array" ref="BK71">SUMPRODUCT(--($AO71:$BF71 = (TRANSPOSE($Y$3:$Y$20)) + 1))</f>
        <v>4</v>
      </c>
      <c r="BL71" cm="1">
        <f t="array" ref="BL71">SUMPRODUCT(--($AO71:$BF71 = (TRANSPOSE($Y$3:$Y$20)) + 2))</f>
        <v>4</v>
      </c>
      <c r="BM71" cm="1">
        <f t="array" ref="BM71">SUMPRODUCT(--($AO71:$BF71 = (TRANSPOSE($Y$3:$Y$20)) + 3))</f>
        <v>3</v>
      </c>
      <c r="BN71" cm="1">
        <f t="array" ref="BN71">SUMPRODUCT(--($AO71:$BF71 &gt;= (TRANSPOSE($Y$3:$Y$20)) + 4))</f>
        <v>1</v>
      </c>
      <c r="BO71">
        <f t="shared" si="12"/>
        <v>5</v>
      </c>
      <c r="BT71" s="3" t="s">
        <v>46</v>
      </c>
      <c r="BU71">
        <v>16</v>
      </c>
      <c r="BV71">
        <v>194</v>
      </c>
    </row>
    <row r="72" spans="3:74" x14ac:dyDescent="0.25">
      <c r="AL72" t="s">
        <v>38</v>
      </c>
      <c r="AM72">
        <v>16</v>
      </c>
      <c r="AN72">
        <v>1</v>
      </c>
      <c r="AO72">
        <v>5</v>
      </c>
      <c r="AP72">
        <v>6</v>
      </c>
      <c r="AQ72">
        <v>7</v>
      </c>
      <c r="AR72">
        <v>3</v>
      </c>
      <c r="AS72">
        <v>6</v>
      </c>
      <c r="AT72">
        <v>5</v>
      </c>
      <c r="AU72">
        <v>6</v>
      </c>
      <c r="AV72">
        <v>8</v>
      </c>
      <c r="AW72">
        <v>4</v>
      </c>
      <c r="AX72">
        <v>5</v>
      </c>
      <c r="AY72">
        <v>3</v>
      </c>
      <c r="AZ72">
        <v>4</v>
      </c>
      <c r="BA72">
        <v>6</v>
      </c>
      <c r="BB72">
        <v>5</v>
      </c>
      <c r="BC72">
        <v>5</v>
      </c>
      <c r="BD72">
        <v>3</v>
      </c>
      <c r="BE72">
        <v>6</v>
      </c>
      <c r="BF72">
        <v>5</v>
      </c>
      <c r="BG72">
        <f t="shared" si="11"/>
        <v>92</v>
      </c>
      <c r="BH72" cm="1">
        <f t="array" ref="BH72">SUMPRODUCT(--($AO72:$BF72 = TRANSPOSE($Y$3:$Y$20)))</f>
        <v>8</v>
      </c>
      <c r="BI72" cm="1">
        <f t="array" ref="BI72">SUMPRODUCT(--($AO72:$BF72 = (TRANSPOSE($Y$3:$Y$20)) - 1))</f>
        <v>0</v>
      </c>
      <c r="BJ72" cm="1">
        <f t="array" ref="BJ72">SUMPRODUCT(--($AO72:$BF72 = (TRANSPOSE($Y$3:$Y$20)) - 2))</f>
        <v>0</v>
      </c>
      <c r="BK72" cm="1">
        <f t="array" ref="BK72">SUMPRODUCT(--($AO72:$BF72 = (TRANSPOSE($Y$3:$Y$20)) + 1))</f>
        <v>3</v>
      </c>
      <c r="BL72" cm="1">
        <f t="array" ref="BL72">SUMPRODUCT(--($AO72:$BF72 = (TRANSPOSE($Y$3:$Y$20)) + 2))</f>
        <v>4</v>
      </c>
      <c r="BM72" cm="1">
        <f t="array" ref="BM72">SUMPRODUCT(--($AO72:$BF72 = (TRANSPOSE($Y$3:$Y$20)) + 3))</f>
        <v>2</v>
      </c>
      <c r="BN72" cm="1">
        <f t="array" ref="BN72">SUMPRODUCT(--($AO72:$BF72 &gt;= (TRANSPOSE($Y$3:$Y$20)) + 4))</f>
        <v>1</v>
      </c>
      <c r="BO72">
        <f t="shared" si="12"/>
        <v>5</v>
      </c>
      <c r="BT72" s="3" t="s">
        <v>29</v>
      </c>
      <c r="BU72">
        <v>-1</v>
      </c>
      <c r="BV72">
        <v>80</v>
      </c>
    </row>
    <row r="73" spans="3:74" x14ac:dyDescent="0.25">
      <c r="AL73" t="s">
        <v>39</v>
      </c>
      <c r="AM73">
        <v>16</v>
      </c>
      <c r="AN73">
        <v>2</v>
      </c>
      <c r="AO73">
        <v>5</v>
      </c>
      <c r="AP73">
        <v>4</v>
      </c>
      <c r="AQ73">
        <v>4</v>
      </c>
      <c r="AR73">
        <v>4</v>
      </c>
      <c r="AS73">
        <v>7</v>
      </c>
      <c r="AT73">
        <v>5</v>
      </c>
      <c r="AU73">
        <v>5</v>
      </c>
      <c r="AV73">
        <v>4</v>
      </c>
      <c r="AW73">
        <v>5</v>
      </c>
      <c r="AX73">
        <v>8</v>
      </c>
      <c r="AY73">
        <v>7</v>
      </c>
      <c r="AZ73">
        <v>4</v>
      </c>
      <c r="BA73">
        <v>4</v>
      </c>
      <c r="BB73">
        <v>7</v>
      </c>
      <c r="BC73">
        <v>5</v>
      </c>
      <c r="BD73">
        <v>5</v>
      </c>
      <c r="BE73">
        <v>5</v>
      </c>
      <c r="BF73">
        <v>4</v>
      </c>
      <c r="BG73">
        <f t="shared" si="11"/>
        <v>92</v>
      </c>
      <c r="BH73" cm="1">
        <f t="array" ref="BH73">SUMPRODUCT(--($AO73:$BF73 = TRANSPOSE($Y$3:$Y$20)))</f>
        <v>8</v>
      </c>
      <c r="BI73" cm="1">
        <f t="array" ref="BI73">SUMPRODUCT(--($AO73:$BF73 = (TRANSPOSE($Y$3:$Y$20)) - 1))</f>
        <v>0</v>
      </c>
      <c r="BJ73" cm="1">
        <f t="array" ref="BJ73">SUMPRODUCT(--($AO73:$BF73 = (TRANSPOSE($Y$3:$Y$20)) - 2))</f>
        <v>0</v>
      </c>
      <c r="BK73" cm="1">
        <f t="array" ref="BK73">SUMPRODUCT(--($AO73:$BF73 = (TRANSPOSE($Y$3:$Y$20)) + 1))</f>
        <v>4</v>
      </c>
      <c r="BL73" cm="1">
        <f t="array" ref="BL73">SUMPRODUCT(--($AO73:$BF73 = (TRANSPOSE($Y$3:$Y$20)) + 2))</f>
        <v>3</v>
      </c>
      <c r="BM73" cm="1">
        <f t="array" ref="BM73">SUMPRODUCT(--($AO73:$BF73 = (TRANSPOSE($Y$3:$Y$20)) + 3))</f>
        <v>1</v>
      </c>
      <c r="BN73" cm="1">
        <f t="array" ref="BN73">SUMPRODUCT(--($AO73:$BF73 &gt;= (TRANSPOSE($Y$3:$Y$20)) + 4))</f>
        <v>2</v>
      </c>
      <c r="BO73">
        <f t="shared" si="12"/>
        <v>5</v>
      </c>
      <c r="BT73" s="3" t="s">
        <v>27</v>
      </c>
      <c r="BU73">
        <v>-2</v>
      </c>
      <c r="BV73">
        <v>192</v>
      </c>
    </row>
    <row r="74" spans="3:74" x14ac:dyDescent="0.25">
      <c r="AL74" t="s">
        <v>49</v>
      </c>
      <c r="AM74">
        <v>14</v>
      </c>
      <c r="AN74">
        <v>2</v>
      </c>
      <c r="AO74">
        <v>5</v>
      </c>
      <c r="AP74">
        <v>6</v>
      </c>
      <c r="AQ74">
        <v>4</v>
      </c>
      <c r="AR74">
        <v>4</v>
      </c>
      <c r="AS74">
        <v>4</v>
      </c>
      <c r="AT74">
        <v>6</v>
      </c>
      <c r="AU74">
        <v>5</v>
      </c>
      <c r="AV74">
        <v>4</v>
      </c>
      <c r="AW74">
        <v>5</v>
      </c>
      <c r="AX74">
        <v>5</v>
      </c>
      <c r="AY74">
        <v>4</v>
      </c>
      <c r="AZ74">
        <v>5</v>
      </c>
      <c r="BA74">
        <v>5</v>
      </c>
      <c r="BB74">
        <v>7</v>
      </c>
      <c r="BC74">
        <v>5</v>
      </c>
      <c r="BD74">
        <v>4</v>
      </c>
      <c r="BE74">
        <v>6</v>
      </c>
      <c r="BF74">
        <v>6</v>
      </c>
      <c r="BG74">
        <f t="shared" si="11"/>
        <v>90</v>
      </c>
      <c r="BH74" cm="1">
        <f t="array" ref="BH74">SUMPRODUCT(--($AO74:$BF74 = TRANSPOSE($Y$3:$Y$20)))</f>
        <v>4</v>
      </c>
      <c r="BI74" cm="1">
        <f t="array" ref="BI74">SUMPRODUCT(--($AO74:$BF74 = (TRANSPOSE($Y$3:$Y$20)) - 1))</f>
        <v>0</v>
      </c>
      <c r="BJ74" cm="1">
        <f t="array" ref="BJ74">SUMPRODUCT(--($AO74:$BF74 = (TRANSPOSE($Y$3:$Y$20)) - 2))</f>
        <v>0</v>
      </c>
      <c r="BK74" cm="1">
        <f t="array" ref="BK74">SUMPRODUCT(--($AO74:$BF74 = (TRANSPOSE($Y$3:$Y$20)) + 1))</f>
        <v>9</v>
      </c>
      <c r="BL74" cm="1">
        <f t="array" ref="BL74">SUMPRODUCT(--($AO74:$BF74 = (TRANSPOSE($Y$3:$Y$20)) + 2))</f>
        <v>5</v>
      </c>
      <c r="BM74" cm="1">
        <f t="array" ref="BM74">SUMPRODUCT(--($AO74:$BF74 = (TRANSPOSE($Y$3:$Y$20)) + 3))</f>
        <v>0</v>
      </c>
      <c r="BN74" cm="1">
        <f t="array" ref="BN74">SUMPRODUCT(--($AO74:$BF74 &gt;= (TRANSPOSE($Y$3:$Y$20)) + 4))</f>
        <v>0</v>
      </c>
      <c r="BO74">
        <f t="shared" si="12"/>
        <v>5</v>
      </c>
      <c r="BT74" s="3" t="s">
        <v>32</v>
      </c>
      <c r="BU74">
        <v>3</v>
      </c>
      <c r="BV74">
        <v>157</v>
      </c>
    </row>
    <row r="75" spans="3:74" x14ac:dyDescent="0.25">
      <c r="AL75" t="s">
        <v>48</v>
      </c>
      <c r="AM75">
        <v>20</v>
      </c>
      <c r="AN75">
        <v>1</v>
      </c>
      <c r="AO75">
        <v>6</v>
      </c>
      <c r="AP75">
        <v>6</v>
      </c>
      <c r="AQ75">
        <v>4</v>
      </c>
      <c r="AR75">
        <v>5</v>
      </c>
      <c r="AS75">
        <v>5</v>
      </c>
      <c r="AT75">
        <v>7</v>
      </c>
      <c r="AU75">
        <v>5</v>
      </c>
      <c r="AV75">
        <v>6</v>
      </c>
      <c r="AW75">
        <v>4</v>
      </c>
      <c r="AX75">
        <v>5</v>
      </c>
      <c r="AY75">
        <v>4</v>
      </c>
      <c r="AZ75">
        <v>5</v>
      </c>
      <c r="BA75">
        <v>5</v>
      </c>
      <c r="BB75">
        <v>6</v>
      </c>
      <c r="BC75">
        <v>6</v>
      </c>
      <c r="BD75">
        <v>3</v>
      </c>
      <c r="BE75">
        <v>7</v>
      </c>
      <c r="BF75">
        <v>6</v>
      </c>
      <c r="BG75">
        <f t="shared" si="11"/>
        <v>95</v>
      </c>
      <c r="BH75" cm="1">
        <f t="array" ref="BH75">SUMPRODUCT(--($AO75:$BF75 = TRANSPOSE($Y$3:$Y$20)))</f>
        <v>3</v>
      </c>
      <c r="BI75" cm="1">
        <f t="array" ref="BI75">SUMPRODUCT(--($AO75:$BF75 = (TRANSPOSE($Y$3:$Y$20)) - 1))</f>
        <v>0</v>
      </c>
      <c r="BJ75" cm="1">
        <f t="array" ref="BJ75">SUMPRODUCT(--($AO75:$BF75 = (TRANSPOSE($Y$3:$Y$20)) - 2))</f>
        <v>0</v>
      </c>
      <c r="BK75" cm="1">
        <f t="array" ref="BK75">SUMPRODUCT(--($AO75:$BF75 = (TRANSPOSE($Y$3:$Y$20)) + 1))</f>
        <v>7</v>
      </c>
      <c r="BL75" cm="1">
        <f t="array" ref="BL75">SUMPRODUCT(--($AO75:$BF75 = (TRANSPOSE($Y$3:$Y$20)) + 2))</f>
        <v>7</v>
      </c>
      <c r="BM75" cm="1">
        <f t="array" ref="BM75">SUMPRODUCT(--($AO75:$BF75 = (TRANSPOSE($Y$3:$Y$20)) + 3))</f>
        <v>1</v>
      </c>
      <c r="BN75" cm="1">
        <f t="array" ref="BN75">SUMPRODUCT(--($AO75:$BF75 &gt;= (TRANSPOSE($Y$3:$Y$20)) + 4))</f>
        <v>0</v>
      </c>
      <c r="BO75">
        <f t="shared" si="12"/>
        <v>4</v>
      </c>
      <c r="BT75" s="3" t="s">
        <v>53</v>
      </c>
      <c r="BU75">
        <v>-4</v>
      </c>
      <c r="BV75">
        <v>218</v>
      </c>
    </row>
    <row r="76" spans="3:74" x14ac:dyDescent="0.25">
      <c r="AL76" t="s">
        <v>35</v>
      </c>
      <c r="AM76">
        <v>15</v>
      </c>
      <c r="AN76">
        <v>1</v>
      </c>
      <c r="AO76">
        <v>5</v>
      </c>
      <c r="AP76">
        <v>6</v>
      </c>
      <c r="AQ76">
        <v>4</v>
      </c>
      <c r="AR76">
        <v>4</v>
      </c>
      <c r="AS76">
        <v>5</v>
      </c>
      <c r="AT76">
        <v>4</v>
      </c>
      <c r="AU76">
        <v>4</v>
      </c>
      <c r="AV76">
        <v>4</v>
      </c>
      <c r="AW76">
        <v>6</v>
      </c>
      <c r="AX76">
        <v>5</v>
      </c>
      <c r="AY76">
        <v>3</v>
      </c>
      <c r="AZ76">
        <v>5</v>
      </c>
      <c r="BA76">
        <v>4</v>
      </c>
      <c r="BB76">
        <v>9</v>
      </c>
      <c r="BC76">
        <v>5</v>
      </c>
      <c r="BD76">
        <v>4</v>
      </c>
      <c r="BE76">
        <v>7</v>
      </c>
      <c r="BF76">
        <v>6</v>
      </c>
      <c r="BG76">
        <f t="shared" si="11"/>
        <v>90</v>
      </c>
      <c r="BH76" cm="1">
        <f t="array" ref="BH76">SUMPRODUCT(--($AO76:$BF76 = TRANSPOSE($Y$3:$Y$20)))</f>
        <v>5</v>
      </c>
      <c r="BI76" cm="1">
        <f t="array" ref="BI76">SUMPRODUCT(--($AO76:$BF76 = (TRANSPOSE($Y$3:$Y$20)) - 1))</f>
        <v>1</v>
      </c>
      <c r="BJ76" cm="1">
        <f t="array" ref="BJ76">SUMPRODUCT(--($AO76:$BF76 = (TRANSPOSE($Y$3:$Y$20)) - 2))</f>
        <v>0</v>
      </c>
      <c r="BK76" cm="1">
        <f t="array" ref="BK76">SUMPRODUCT(--($AO76:$BF76 = (TRANSPOSE($Y$3:$Y$20)) + 1))</f>
        <v>7</v>
      </c>
      <c r="BL76" cm="1">
        <f t="array" ref="BL76">SUMPRODUCT(--($AO76:$BF76 = (TRANSPOSE($Y$3:$Y$20)) + 2))</f>
        <v>3</v>
      </c>
      <c r="BM76" cm="1">
        <f t="array" ref="BM76">SUMPRODUCT(--($AO76:$BF76 = (TRANSPOSE($Y$3:$Y$20)) + 3))</f>
        <v>1</v>
      </c>
      <c r="BN76" cm="1">
        <f t="array" ref="BN76">SUMPRODUCT(--($AO76:$BF76 &gt;= (TRANSPOSE($Y$3:$Y$20)) + 4))</f>
        <v>1</v>
      </c>
      <c r="BO76">
        <f t="shared" si="12"/>
        <v>4</v>
      </c>
      <c r="BT76" s="3" t="s">
        <v>34</v>
      </c>
      <c r="BU76">
        <v>15</v>
      </c>
      <c r="BV76">
        <v>181</v>
      </c>
    </row>
    <row r="77" spans="3:74" x14ac:dyDescent="0.25">
      <c r="AL77" t="s">
        <v>27</v>
      </c>
      <c r="AM77">
        <v>26</v>
      </c>
      <c r="AN77">
        <v>1</v>
      </c>
      <c r="AO77">
        <v>6</v>
      </c>
      <c r="AP77">
        <v>5</v>
      </c>
      <c r="AQ77">
        <v>5</v>
      </c>
      <c r="AR77">
        <v>6</v>
      </c>
      <c r="AS77">
        <v>4</v>
      </c>
      <c r="AT77">
        <v>6</v>
      </c>
      <c r="AU77">
        <v>5</v>
      </c>
      <c r="AV77">
        <v>5</v>
      </c>
      <c r="AW77">
        <v>7</v>
      </c>
      <c r="AX77">
        <v>6</v>
      </c>
      <c r="AY77">
        <v>4</v>
      </c>
      <c r="AZ77">
        <v>4</v>
      </c>
      <c r="BA77">
        <v>5</v>
      </c>
      <c r="BB77">
        <v>6</v>
      </c>
      <c r="BC77">
        <v>7</v>
      </c>
      <c r="BD77">
        <v>6</v>
      </c>
      <c r="BE77">
        <v>6</v>
      </c>
      <c r="BF77">
        <v>7</v>
      </c>
      <c r="BG77">
        <f t="shared" si="11"/>
        <v>100</v>
      </c>
      <c r="BH77" cm="1">
        <f t="array" ref="BH77">SUMPRODUCT(--($AO77:$BF77 = TRANSPOSE($Y$3:$Y$20)))</f>
        <v>2</v>
      </c>
      <c r="BI77" cm="1">
        <f t="array" ref="BI77">SUMPRODUCT(--($AO77:$BF77 = (TRANSPOSE($Y$3:$Y$20)) - 1))</f>
        <v>0</v>
      </c>
      <c r="BJ77" cm="1">
        <f t="array" ref="BJ77">SUMPRODUCT(--($AO77:$BF77 = (TRANSPOSE($Y$3:$Y$20)) - 2))</f>
        <v>0</v>
      </c>
      <c r="BK77" cm="1">
        <f t="array" ref="BK77">SUMPRODUCT(--($AO77:$BF77 = (TRANSPOSE($Y$3:$Y$20)) + 1))</f>
        <v>8</v>
      </c>
      <c r="BL77" cm="1">
        <f t="array" ref="BL77">SUMPRODUCT(--($AO77:$BF77 = (TRANSPOSE($Y$3:$Y$20)) + 2))</f>
        <v>3</v>
      </c>
      <c r="BM77" cm="1">
        <f t="array" ref="BM77">SUMPRODUCT(--($AO77:$BF77 = (TRANSPOSE($Y$3:$Y$20)) + 3))</f>
        <v>5</v>
      </c>
      <c r="BN77" cm="1">
        <f t="array" ref="BN77">SUMPRODUCT(--($AO77:$BF77 &gt;= (TRANSPOSE($Y$3:$Y$20)) + 4))</f>
        <v>0</v>
      </c>
      <c r="BO77">
        <f t="shared" si="12"/>
        <v>3</v>
      </c>
      <c r="BT77" s="3" t="s">
        <v>39</v>
      </c>
      <c r="BU77">
        <v>3</v>
      </c>
      <c r="BV77">
        <v>177</v>
      </c>
    </row>
    <row r="78" spans="3:74" x14ac:dyDescent="0.25">
      <c r="AL78" t="s">
        <v>43</v>
      </c>
      <c r="AM78">
        <v>23</v>
      </c>
      <c r="AN78">
        <v>2</v>
      </c>
      <c r="AO78">
        <v>6</v>
      </c>
      <c r="AP78">
        <v>5</v>
      </c>
      <c r="AQ78">
        <v>5</v>
      </c>
      <c r="AR78">
        <v>5</v>
      </c>
      <c r="AS78">
        <v>7</v>
      </c>
      <c r="AT78">
        <v>4</v>
      </c>
      <c r="AU78">
        <v>4</v>
      </c>
      <c r="AV78">
        <v>4</v>
      </c>
      <c r="AW78">
        <v>8</v>
      </c>
      <c r="AX78">
        <v>10</v>
      </c>
      <c r="AY78">
        <v>4</v>
      </c>
      <c r="AZ78">
        <v>4</v>
      </c>
      <c r="BA78">
        <v>5</v>
      </c>
      <c r="BB78">
        <v>7</v>
      </c>
      <c r="BC78">
        <v>5</v>
      </c>
      <c r="BD78">
        <v>3</v>
      </c>
      <c r="BE78">
        <v>5</v>
      </c>
      <c r="BF78">
        <v>6</v>
      </c>
      <c r="BG78">
        <f t="shared" si="11"/>
        <v>97</v>
      </c>
      <c r="BH78" cm="1">
        <f t="array" ref="BH78">SUMPRODUCT(--($AO78:$BF78 = TRANSPOSE($Y$3:$Y$20)))</f>
        <v>3</v>
      </c>
      <c r="BI78" cm="1">
        <f t="array" ref="BI78">SUMPRODUCT(--($AO78:$BF78 = (TRANSPOSE($Y$3:$Y$20)) - 1))</f>
        <v>1</v>
      </c>
      <c r="BJ78" cm="1">
        <f t="array" ref="BJ78">SUMPRODUCT(--($AO78:$BF78 = (TRANSPOSE($Y$3:$Y$20)) - 2))</f>
        <v>0</v>
      </c>
      <c r="BK78" cm="1">
        <f t="array" ref="BK78">SUMPRODUCT(--($AO78:$BF78 = (TRANSPOSE($Y$3:$Y$20)) + 1))</f>
        <v>8</v>
      </c>
      <c r="BL78" cm="1">
        <f t="array" ref="BL78">SUMPRODUCT(--($AO78:$BF78 = (TRANSPOSE($Y$3:$Y$20)) + 2))</f>
        <v>3</v>
      </c>
      <c r="BM78" cm="1">
        <f t="array" ref="BM78">SUMPRODUCT(--($AO78:$BF78 = (TRANSPOSE($Y$3:$Y$20)) + 3))</f>
        <v>1</v>
      </c>
      <c r="BN78" cm="1">
        <f t="array" ref="BN78">SUMPRODUCT(--($AO78:$BF78 &gt;= (TRANSPOSE($Y$3:$Y$20)) + 4))</f>
        <v>2</v>
      </c>
      <c r="BO78">
        <f t="shared" si="12"/>
        <v>3</v>
      </c>
      <c r="BT78" s="3" t="s">
        <v>33</v>
      </c>
      <c r="BU78">
        <v>3</v>
      </c>
      <c r="BV78">
        <v>80</v>
      </c>
    </row>
    <row r="79" spans="3:74" x14ac:dyDescent="0.25">
      <c r="AL79" t="s">
        <v>31</v>
      </c>
      <c r="AM79">
        <v>18</v>
      </c>
      <c r="AN79">
        <v>1</v>
      </c>
      <c r="AO79">
        <v>5</v>
      </c>
      <c r="AP79">
        <v>5</v>
      </c>
      <c r="AQ79">
        <v>5</v>
      </c>
      <c r="AR79">
        <v>6</v>
      </c>
      <c r="AS79">
        <v>6</v>
      </c>
      <c r="AT79">
        <v>4</v>
      </c>
      <c r="AU79">
        <v>6</v>
      </c>
      <c r="AV79">
        <v>5</v>
      </c>
      <c r="AW79">
        <v>7</v>
      </c>
      <c r="AX79">
        <v>4</v>
      </c>
      <c r="AY79">
        <v>3</v>
      </c>
      <c r="AZ79">
        <v>6</v>
      </c>
      <c r="BA79">
        <v>4</v>
      </c>
      <c r="BB79">
        <v>5</v>
      </c>
      <c r="BC79">
        <v>5</v>
      </c>
      <c r="BD79">
        <v>5</v>
      </c>
      <c r="BE79">
        <v>6</v>
      </c>
      <c r="BF79">
        <v>5</v>
      </c>
      <c r="BG79">
        <f t="shared" si="11"/>
        <v>92</v>
      </c>
      <c r="BH79" cm="1">
        <f t="array" ref="BH79">SUMPRODUCT(--($AO79:$BF79 = TRANSPOSE($Y$3:$Y$20)))</f>
        <v>5</v>
      </c>
      <c r="BI79" cm="1">
        <f t="array" ref="BI79">SUMPRODUCT(--($AO79:$BF79 = (TRANSPOSE($Y$3:$Y$20)) - 1))</f>
        <v>1</v>
      </c>
      <c r="BJ79" cm="1">
        <f t="array" ref="BJ79">SUMPRODUCT(--($AO79:$BF79 = (TRANSPOSE($Y$3:$Y$20)) - 2))</f>
        <v>0</v>
      </c>
      <c r="BK79" cm="1">
        <f t="array" ref="BK79">SUMPRODUCT(--($AO79:$BF79 = (TRANSPOSE($Y$3:$Y$20)) + 1))</f>
        <v>5</v>
      </c>
      <c r="BL79" cm="1">
        <f t="array" ref="BL79">SUMPRODUCT(--($AO79:$BF79 = (TRANSPOSE($Y$3:$Y$20)) + 2))</f>
        <v>4</v>
      </c>
      <c r="BM79" cm="1">
        <f t="array" ref="BM79">SUMPRODUCT(--($AO79:$BF79 = (TRANSPOSE($Y$3:$Y$20)) + 3))</f>
        <v>3</v>
      </c>
      <c r="BN79" cm="1">
        <f t="array" ref="BN79">SUMPRODUCT(--($AO79:$BF79 &gt;= (TRANSPOSE($Y$3:$Y$20)) + 4))</f>
        <v>0</v>
      </c>
      <c r="BO79">
        <f t="shared" si="12"/>
        <v>3</v>
      </c>
      <c r="BT79" s="3" t="s">
        <v>36</v>
      </c>
      <c r="BU79">
        <v>4</v>
      </c>
      <c r="BV79">
        <v>174</v>
      </c>
    </row>
    <row r="80" spans="3:74" x14ac:dyDescent="0.25">
      <c r="AL80" t="s">
        <v>38</v>
      </c>
      <c r="AM80">
        <v>16</v>
      </c>
      <c r="AN80">
        <v>2</v>
      </c>
      <c r="AO80">
        <v>6</v>
      </c>
      <c r="AP80">
        <v>8</v>
      </c>
      <c r="AQ80">
        <v>5</v>
      </c>
      <c r="AR80">
        <v>4</v>
      </c>
      <c r="AS80">
        <v>5</v>
      </c>
      <c r="AT80">
        <v>6</v>
      </c>
      <c r="AU80">
        <v>4</v>
      </c>
      <c r="AV80">
        <v>5</v>
      </c>
      <c r="AW80">
        <v>5</v>
      </c>
      <c r="AX80">
        <v>5</v>
      </c>
      <c r="AY80">
        <v>4</v>
      </c>
      <c r="AZ80">
        <v>4</v>
      </c>
      <c r="BA80">
        <v>4</v>
      </c>
      <c r="BB80">
        <v>5</v>
      </c>
      <c r="BC80">
        <v>6</v>
      </c>
      <c r="BD80">
        <v>4</v>
      </c>
      <c r="BE80">
        <v>5</v>
      </c>
      <c r="BF80">
        <v>5</v>
      </c>
      <c r="BG80">
        <f t="shared" si="11"/>
        <v>90</v>
      </c>
      <c r="BH80" cm="1">
        <f t="array" ref="BH80">SUMPRODUCT(--($AO80:$BF80 = TRANSPOSE($Y$3:$Y$20)))</f>
        <v>3</v>
      </c>
      <c r="BI80" cm="1">
        <f t="array" ref="BI80">SUMPRODUCT(--($AO80:$BF80 = (TRANSPOSE($Y$3:$Y$20)) - 1))</f>
        <v>0</v>
      </c>
      <c r="BJ80" cm="1">
        <f t="array" ref="BJ80">SUMPRODUCT(--($AO80:$BF80 = (TRANSPOSE($Y$3:$Y$20)) - 2))</f>
        <v>0</v>
      </c>
      <c r="BK80" cm="1">
        <f t="array" ref="BK80">SUMPRODUCT(--($AO80:$BF80 = (TRANSPOSE($Y$3:$Y$20)) + 1))</f>
        <v>13</v>
      </c>
      <c r="BL80" cm="1">
        <f t="array" ref="BL80">SUMPRODUCT(--($AO80:$BF80 = (TRANSPOSE($Y$3:$Y$20)) + 2))</f>
        <v>1</v>
      </c>
      <c r="BM80" cm="1">
        <f t="array" ref="BM80">SUMPRODUCT(--($AO80:$BF80 = (TRANSPOSE($Y$3:$Y$20)) + 3))</f>
        <v>0</v>
      </c>
      <c r="BN80" cm="1">
        <f t="array" ref="BN80">SUMPRODUCT(--($AO80:$BF80 &gt;= (TRANSPOSE($Y$3:$Y$20)) + 4))</f>
        <v>1</v>
      </c>
      <c r="BO80">
        <f t="shared" si="12"/>
        <v>3</v>
      </c>
      <c r="BT80" s="3" t="s">
        <v>50</v>
      </c>
      <c r="BU80">
        <v>-3</v>
      </c>
      <c r="BV80">
        <v>189</v>
      </c>
    </row>
    <row r="81" spans="38:81" x14ac:dyDescent="0.25">
      <c r="AL81" t="s">
        <v>36</v>
      </c>
      <c r="AM81">
        <v>14</v>
      </c>
      <c r="AN81">
        <v>2</v>
      </c>
      <c r="AO81">
        <v>5</v>
      </c>
      <c r="AP81">
        <v>5</v>
      </c>
      <c r="AQ81">
        <v>6</v>
      </c>
      <c r="AR81">
        <v>4</v>
      </c>
      <c r="AS81">
        <v>4</v>
      </c>
      <c r="AT81">
        <v>4</v>
      </c>
      <c r="AU81">
        <v>5</v>
      </c>
      <c r="AV81">
        <v>5</v>
      </c>
      <c r="AW81">
        <v>5</v>
      </c>
      <c r="AX81">
        <v>6</v>
      </c>
      <c r="AY81">
        <v>4</v>
      </c>
      <c r="AZ81">
        <v>5</v>
      </c>
      <c r="BA81">
        <v>5</v>
      </c>
      <c r="BB81">
        <v>6</v>
      </c>
      <c r="BC81">
        <v>5</v>
      </c>
      <c r="BD81">
        <v>3</v>
      </c>
      <c r="BE81">
        <v>6</v>
      </c>
      <c r="BF81">
        <v>5</v>
      </c>
      <c r="BG81">
        <f t="shared" si="11"/>
        <v>88</v>
      </c>
      <c r="BH81" cm="1">
        <f t="array" ref="BH81">SUMPRODUCT(--($AO81:$BF81 = TRANSPOSE($Y$3:$Y$20)))</f>
        <v>3</v>
      </c>
      <c r="BI81" cm="1">
        <f t="array" ref="BI81">SUMPRODUCT(--($AO81:$BF81 = (TRANSPOSE($Y$3:$Y$20)) - 1))</f>
        <v>1</v>
      </c>
      <c r="BJ81" cm="1">
        <f t="array" ref="BJ81">SUMPRODUCT(--($AO81:$BF81 = (TRANSPOSE($Y$3:$Y$20)) - 2))</f>
        <v>0</v>
      </c>
      <c r="BK81" cm="1">
        <f t="array" ref="BK81">SUMPRODUCT(--($AO81:$BF81 = (TRANSPOSE($Y$3:$Y$20)) + 1))</f>
        <v>10</v>
      </c>
      <c r="BL81" cm="1">
        <f t="array" ref="BL81">SUMPRODUCT(--($AO81:$BF81 = (TRANSPOSE($Y$3:$Y$20)) + 2))</f>
        <v>4</v>
      </c>
      <c r="BM81" cm="1">
        <f t="array" ref="BM81">SUMPRODUCT(--($AO81:$BF81 = (TRANSPOSE($Y$3:$Y$20)) + 3))</f>
        <v>0</v>
      </c>
      <c r="BN81" cm="1">
        <f t="array" ref="BN81">SUMPRODUCT(--($AO81:$BF81 &gt;= (TRANSPOSE($Y$3:$Y$20)) + 4))</f>
        <v>0</v>
      </c>
      <c r="BO81">
        <f t="shared" si="12"/>
        <v>3</v>
      </c>
      <c r="BT81" s="3" t="s">
        <v>35</v>
      </c>
      <c r="BU81">
        <v>4</v>
      </c>
      <c r="BV81">
        <v>176</v>
      </c>
    </row>
    <row r="82" spans="38:81" x14ac:dyDescent="0.25">
      <c r="AL82" t="s">
        <v>33</v>
      </c>
      <c r="AM82">
        <v>6</v>
      </c>
      <c r="AN82">
        <v>1</v>
      </c>
      <c r="AO82">
        <v>6</v>
      </c>
      <c r="AP82">
        <v>3</v>
      </c>
      <c r="AQ82">
        <v>5</v>
      </c>
      <c r="AR82">
        <v>3</v>
      </c>
      <c r="AS82">
        <v>5</v>
      </c>
      <c r="AT82">
        <v>5</v>
      </c>
      <c r="AU82">
        <v>3</v>
      </c>
      <c r="AV82">
        <v>4</v>
      </c>
      <c r="AW82">
        <v>5</v>
      </c>
      <c r="AX82">
        <v>5</v>
      </c>
      <c r="AY82">
        <v>3</v>
      </c>
      <c r="AZ82">
        <v>6</v>
      </c>
      <c r="BA82">
        <v>6</v>
      </c>
      <c r="BB82">
        <v>6</v>
      </c>
      <c r="BC82">
        <v>4</v>
      </c>
      <c r="BD82">
        <v>3</v>
      </c>
      <c r="BE82">
        <v>3</v>
      </c>
      <c r="BF82">
        <v>5</v>
      </c>
      <c r="BG82">
        <f t="shared" si="11"/>
        <v>80</v>
      </c>
      <c r="BH82" cm="1">
        <f t="array" ref="BH82">SUMPRODUCT(--($AO82:$BF82 = TRANSPOSE($Y$3:$Y$20)))</f>
        <v>7</v>
      </c>
      <c r="BI82" cm="1">
        <f t="array" ref="BI82">SUMPRODUCT(--($AO82:$BF82 = (TRANSPOSE($Y$3:$Y$20)) - 1))</f>
        <v>2</v>
      </c>
      <c r="BJ82" cm="1">
        <f t="array" ref="BJ82">SUMPRODUCT(--($AO82:$BF82 = (TRANSPOSE($Y$3:$Y$20)) - 2))</f>
        <v>0</v>
      </c>
      <c r="BK82" cm="1">
        <f t="array" ref="BK82">SUMPRODUCT(--($AO82:$BF82 = (TRANSPOSE($Y$3:$Y$20)) + 1))</f>
        <v>7</v>
      </c>
      <c r="BL82" cm="1">
        <f t="array" ref="BL82">SUMPRODUCT(--($AO82:$BF82 = (TRANSPOSE($Y$3:$Y$20)) + 2))</f>
        <v>2</v>
      </c>
      <c r="BM82" cm="1">
        <f t="array" ref="BM82">SUMPRODUCT(--($AO82:$BF82 = (TRANSPOSE($Y$3:$Y$20)) + 3))</f>
        <v>0</v>
      </c>
      <c r="BN82" cm="1">
        <f t="array" ref="BN82">SUMPRODUCT(--($AO82:$BF82 &gt;= (TRANSPOSE($Y$3:$Y$20)) + 4))</f>
        <v>0</v>
      </c>
      <c r="BO82">
        <f t="shared" si="12"/>
        <v>3</v>
      </c>
      <c r="BT82" s="3" t="s">
        <v>30</v>
      </c>
      <c r="BU82">
        <v>-5</v>
      </c>
      <c r="BV82">
        <v>191</v>
      </c>
    </row>
    <row r="83" spans="38:81" x14ac:dyDescent="0.25">
      <c r="AL83" t="s">
        <v>25</v>
      </c>
      <c r="AM83">
        <v>20</v>
      </c>
      <c r="AN83">
        <v>2</v>
      </c>
      <c r="AO83">
        <v>5</v>
      </c>
      <c r="AP83">
        <v>5</v>
      </c>
      <c r="AQ83">
        <v>5</v>
      </c>
      <c r="AR83">
        <v>4</v>
      </c>
      <c r="AS83">
        <v>7</v>
      </c>
      <c r="AT83">
        <v>7</v>
      </c>
      <c r="AU83">
        <v>4</v>
      </c>
      <c r="AV83">
        <v>6</v>
      </c>
      <c r="AW83">
        <v>7</v>
      </c>
      <c r="AX83">
        <v>7</v>
      </c>
      <c r="AY83">
        <v>4</v>
      </c>
      <c r="AZ83">
        <v>4</v>
      </c>
      <c r="BA83">
        <v>4</v>
      </c>
      <c r="BB83">
        <v>6</v>
      </c>
      <c r="BC83">
        <v>5</v>
      </c>
      <c r="BD83">
        <v>2</v>
      </c>
      <c r="BE83">
        <v>5</v>
      </c>
      <c r="BF83">
        <v>6</v>
      </c>
      <c r="BG83">
        <f t="shared" si="11"/>
        <v>93</v>
      </c>
      <c r="BH83" cm="1">
        <f t="array" ref="BH83">SUMPRODUCT(--($AO83:$BF83 = TRANSPOSE($Y$3:$Y$20)))</f>
        <v>3</v>
      </c>
      <c r="BI83" cm="1">
        <f t="array" ref="BI83">SUMPRODUCT(--($AO83:$BF83 = (TRANSPOSE($Y$3:$Y$20)) - 1))</f>
        <v>1</v>
      </c>
      <c r="BJ83" cm="1">
        <f t="array" ref="BJ83">SUMPRODUCT(--($AO83:$BF83 = (TRANSPOSE($Y$3:$Y$20)) - 2))</f>
        <v>0</v>
      </c>
      <c r="BK83" cm="1">
        <f t="array" ref="BK83">SUMPRODUCT(--($AO83:$BF83 = (TRANSPOSE($Y$3:$Y$20)) + 1))</f>
        <v>8</v>
      </c>
      <c r="BL83" cm="1">
        <f t="array" ref="BL83">SUMPRODUCT(--($AO83:$BF83 = (TRANSPOSE($Y$3:$Y$20)) + 2))</f>
        <v>3</v>
      </c>
      <c r="BM83" cm="1">
        <f t="array" ref="BM83">SUMPRODUCT(--($AO83:$BF83 = (TRANSPOSE($Y$3:$Y$20)) + 3))</f>
        <v>3</v>
      </c>
      <c r="BN83" cm="1">
        <f t="array" ref="BN83">SUMPRODUCT(--($AO83:$BF83 &gt;= (TRANSPOSE($Y$3:$Y$20)) + 4))</f>
        <v>0</v>
      </c>
      <c r="BO83">
        <f t="shared" si="12"/>
        <v>2</v>
      </c>
      <c r="BT83" s="3" t="s">
        <v>31</v>
      </c>
      <c r="BU83">
        <v>1</v>
      </c>
      <c r="BV83">
        <v>179</v>
      </c>
    </row>
    <row r="84" spans="38:81" x14ac:dyDescent="0.25">
      <c r="AL84" t="s">
        <v>51</v>
      </c>
      <c r="AM84">
        <v>15</v>
      </c>
      <c r="AN84">
        <v>1</v>
      </c>
      <c r="AO84">
        <v>4</v>
      </c>
      <c r="AP84">
        <v>4</v>
      </c>
      <c r="AQ84">
        <v>5</v>
      </c>
      <c r="AR84">
        <v>3</v>
      </c>
      <c r="AS84">
        <v>6</v>
      </c>
      <c r="AT84">
        <v>3</v>
      </c>
      <c r="AU84">
        <v>5</v>
      </c>
      <c r="AV84">
        <v>5</v>
      </c>
      <c r="AW84">
        <v>6</v>
      </c>
      <c r="AX84">
        <v>9</v>
      </c>
      <c r="AY84">
        <v>3</v>
      </c>
      <c r="AZ84">
        <v>7</v>
      </c>
      <c r="BA84">
        <v>3</v>
      </c>
      <c r="BB84">
        <v>5</v>
      </c>
      <c r="BC84">
        <v>6</v>
      </c>
      <c r="BD84">
        <v>3</v>
      </c>
      <c r="BE84">
        <v>5</v>
      </c>
      <c r="BF84">
        <v>6</v>
      </c>
      <c r="BG84">
        <f t="shared" si="11"/>
        <v>88</v>
      </c>
      <c r="BH84" cm="1">
        <f t="array" ref="BH84">SUMPRODUCT(--($AO84:$BF84 = TRANSPOSE($Y$3:$Y$20)))</f>
        <v>5</v>
      </c>
      <c r="BI84" cm="1">
        <f t="array" ref="BI84">SUMPRODUCT(--($AO84:$BF84 = (TRANSPOSE($Y$3:$Y$20)) - 1))</f>
        <v>2</v>
      </c>
      <c r="BJ84" cm="1">
        <f t="array" ref="BJ84">SUMPRODUCT(--($AO84:$BF84 = (TRANSPOSE($Y$3:$Y$20)) - 2))</f>
        <v>1</v>
      </c>
      <c r="BK84" cm="1">
        <f t="array" ref="BK84">SUMPRODUCT(--($AO84:$BF84 = (TRANSPOSE($Y$3:$Y$20)) + 1))</f>
        <v>3</v>
      </c>
      <c r="BL84" cm="1">
        <f t="array" ref="BL84">SUMPRODUCT(--($AO84:$BF84 = (TRANSPOSE($Y$3:$Y$20)) + 2))</f>
        <v>5</v>
      </c>
      <c r="BM84" cm="1">
        <f t="array" ref="BM84">SUMPRODUCT(--($AO84:$BF84 = (TRANSPOSE($Y$3:$Y$20)) + 3))</f>
        <v>1</v>
      </c>
      <c r="BN84" cm="1">
        <f t="array" ref="BN84">SUMPRODUCT(--($AO84:$BF84 &gt;= (TRANSPOSE($Y$3:$Y$20)) + 4))</f>
        <v>1</v>
      </c>
      <c r="BO84">
        <f t="shared" si="12"/>
        <v>2</v>
      </c>
      <c r="BT84" s="3" t="s">
        <v>42</v>
      </c>
      <c r="BU84">
        <v>2</v>
      </c>
      <c r="BV84">
        <v>200</v>
      </c>
    </row>
    <row r="85" spans="38:81" x14ac:dyDescent="0.25">
      <c r="AL85" t="s">
        <v>32</v>
      </c>
      <c r="AM85">
        <v>6</v>
      </c>
      <c r="AN85">
        <v>2</v>
      </c>
      <c r="AO85">
        <v>5</v>
      </c>
      <c r="AP85">
        <v>5</v>
      </c>
      <c r="AQ85">
        <v>6</v>
      </c>
      <c r="AR85">
        <v>4</v>
      </c>
      <c r="AS85">
        <v>4</v>
      </c>
      <c r="AT85">
        <v>4</v>
      </c>
      <c r="AU85">
        <v>4</v>
      </c>
      <c r="AV85">
        <v>4</v>
      </c>
      <c r="AW85">
        <v>6</v>
      </c>
      <c r="AX85">
        <v>4</v>
      </c>
      <c r="AY85">
        <v>3</v>
      </c>
      <c r="AZ85">
        <v>4</v>
      </c>
      <c r="BA85">
        <v>4</v>
      </c>
      <c r="BB85">
        <v>4</v>
      </c>
      <c r="BC85">
        <v>5</v>
      </c>
      <c r="BD85">
        <v>4</v>
      </c>
      <c r="BE85">
        <v>5</v>
      </c>
      <c r="BF85">
        <v>4</v>
      </c>
      <c r="BG85">
        <f t="shared" si="11"/>
        <v>79</v>
      </c>
      <c r="BH85" cm="1">
        <f t="array" ref="BH85">SUMPRODUCT(--($AO85:$BF85 = TRANSPOSE($Y$3:$Y$20)))</f>
        <v>8</v>
      </c>
      <c r="BI85" cm="1">
        <f t="array" ref="BI85">SUMPRODUCT(--($AO85:$BF85 = (TRANSPOSE($Y$3:$Y$20)) - 1))</f>
        <v>2</v>
      </c>
      <c r="BJ85" cm="1">
        <f t="array" ref="BJ85">SUMPRODUCT(--($AO85:$BF85 = (TRANSPOSE($Y$3:$Y$20)) - 2))</f>
        <v>0</v>
      </c>
      <c r="BK85" cm="1">
        <f t="array" ref="BK85">SUMPRODUCT(--($AO85:$BF85 = (TRANSPOSE($Y$3:$Y$20)) + 1))</f>
        <v>6</v>
      </c>
      <c r="BL85" cm="1">
        <f t="array" ref="BL85">SUMPRODUCT(--($AO85:$BF85 = (TRANSPOSE($Y$3:$Y$20)) + 2))</f>
        <v>2</v>
      </c>
      <c r="BM85" cm="1">
        <f t="array" ref="BM85">SUMPRODUCT(--($AO85:$BF85 = (TRANSPOSE($Y$3:$Y$20)) + 3))</f>
        <v>0</v>
      </c>
      <c r="BN85" cm="1">
        <f t="array" ref="BN85">SUMPRODUCT(--($AO85:$BF85 &gt;= (TRANSPOSE($Y$3:$Y$20)) + 4))</f>
        <v>0</v>
      </c>
      <c r="BO85">
        <f t="shared" si="12"/>
        <v>2</v>
      </c>
      <c r="BT85" s="3" t="s">
        <v>40</v>
      </c>
      <c r="BU85">
        <v>-4</v>
      </c>
      <c r="BV85">
        <v>152</v>
      </c>
    </row>
    <row r="86" spans="38:81" x14ac:dyDescent="0.25">
      <c r="AL86" t="s">
        <v>53</v>
      </c>
      <c r="AM86">
        <v>40</v>
      </c>
      <c r="AN86">
        <v>1</v>
      </c>
      <c r="AO86">
        <v>11</v>
      </c>
      <c r="AP86">
        <v>5</v>
      </c>
      <c r="AQ86">
        <v>5</v>
      </c>
      <c r="AR86">
        <v>4</v>
      </c>
      <c r="AS86">
        <v>5</v>
      </c>
      <c r="AT86">
        <v>7</v>
      </c>
      <c r="AU86">
        <v>6</v>
      </c>
      <c r="AV86">
        <v>6</v>
      </c>
      <c r="AW86">
        <v>6</v>
      </c>
      <c r="AX86">
        <v>7</v>
      </c>
      <c r="AY86">
        <v>5</v>
      </c>
      <c r="AZ86">
        <v>7</v>
      </c>
      <c r="BA86">
        <v>9</v>
      </c>
      <c r="BB86">
        <v>7</v>
      </c>
      <c r="BC86">
        <v>6</v>
      </c>
      <c r="BD86">
        <v>3</v>
      </c>
      <c r="BE86">
        <v>7</v>
      </c>
      <c r="BF86">
        <v>6</v>
      </c>
      <c r="BG86">
        <f t="shared" si="11"/>
        <v>112</v>
      </c>
      <c r="BH86" cm="1">
        <f t="array" ref="BH86">SUMPRODUCT(--($AO86:$BF86 = TRANSPOSE($Y$3:$Y$20)))</f>
        <v>1</v>
      </c>
      <c r="BI86" cm="1">
        <f t="array" ref="BI86">SUMPRODUCT(--($AO86:$BF86 = (TRANSPOSE($Y$3:$Y$20)) - 1))</f>
        <v>0</v>
      </c>
      <c r="BJ86" cm="1">
        <f t="array" ref="BJ86">SUMPRODUCT(--($AO86:$BF86 = (TRANSPOSE($Y$3:$Y$20)) - 2))</f>
        <v>0</v>
      </c>
      <c r="BK86" cm="1">
        <f t="array" ref="BK86">SUMPRODUCT(--($AO86:$BF86 = (TRANSPOSE($Y$3:$Y$20)) + 1))</f>
        <v>4</v>
      </c>
      <c r="BL86" cm="1">
        <f t="array" ref="BL86">SUMPRODUCT(--($AO86:$BF86 = (TRANSPOSE($Y$3:$Y$20)) + 2))</f>
        <v>7</v>
      </c>
      <c r="BM86" cm="1">
        <f t="array" ref="BM86">SUMPRODUCT(--($AO86:$BF86 = (TRANSPOSE($Y$3:$Y$20)) + 3))</f>
        <v>4</v>
      </c>
      <c r="BN86" cm="1">
        <f t="array" ref="BN86">SUMPRODUCT(--($AO86:$BF86 &gt;= (TRANSPOSE($Y$3:$Y$20)) + 4))</f>
        <v>2</v>
      </c>
      <c r="BO86">
        <f t="shared" si="12"/>
        <v>1</v>
      </c>
      <c r="BT86" s="3" t="s">
        <v>23</v>
      </c>
      <c r="BU86">
        <v>8</v>
      </c>
      <c r="BV86">
        <v>194</v>
      </c>
    </row>
    <row r="87" spans="38:81" x14ac:dyDescent="0.25">
      <c r="AL87" t="s">
        <v>48</v>
      </c>
      <c r="AM87">
        <v>20</v>
      </c>
      <c r="AN87">
        <v>2</v>
      </c>
      <c r="AO87">
        <v>5</v>
      </c>
      <c r="AP87">
        <v>7</v>
      </c>
      <c r="AQ87">
        <v>6</v>
      </c>
      <c r="AR87">
        <v>5</v>
      </c>
      <c r="AS87">
        <v>5</v>
      </c>
      <c r="AT87">
        <v>5</v>
      </c>
      <c r="AU87">
        <v>3</v>
      </c>
      <c r="AV87">
        <v>6</v>
      </c>
      <c r="AW87">
        <v>4</v>
      </c>
      <c r="AX87">
        <v>6</v>
      </c>
      <c r="AY87">
        <v>5</v>
      </c>
      <c r="AZ87">
        <v>4</v>
      </c>
      <c r="BA87">
        <v>4</v>
      </c>
      <c r="BB87">
        <v>6</v>
      </c>
      <c r="BC87">
        <v>6</v>
      </c>
      <c r="BD87">
        <v>4</v>
      </c>
      <c r="BE87">
        <v>5</v>
      </c>
      <c r="BF87">
        <v>6</v>
      </c>
      <c r="BG87">
        <f t="shared" si="11"/>
        <v>92</v>
      </c>
      <c r="BH87" cm="1">
        <f t="array" ref="BH87">SUMPRODUCT(--($AO87:$BF87 = TRANSPOSE($Y$3:$Y$20)))</f>
        <v>6</v>
      </c>
      <c r="BI87" cm="1">
        <f t="array" ref="BI87">SUMPRODUCT(--($AO87:$BF87 = (TRANSPOSE($Y$3:$Y$20)) - 1))</f>
        <v>0</v>
      </c>
      <c r="BJ87" cm="1">
        <f t="array" ref="BJ87">SUMPRODUCT(--($AO87:$BF87 = (TRANSPOSE($Y$3:$Y$20)) - 2))</f>
        <v>0</v>
      </c>
      <c r="BK87" cm="1">
        <f t="array" ref="BK87">SUMPRODUCT(--($AO87:$BF87 = (TRANSPOSE($Y$3:$Y$20)) + 1))</f>
        <v>4</v>
      </c>
      <c r="BL87" cm="1">
        <f t="array" ref="BL87">SUMPRODUCT(--($AO87:$BF87 = (TRANSPOSE($Y$3:$Y$20)) + 2))</f>
        <v>7</v>
      </c>
      <c r="BM87" cm="1">
        <f t="array" ref="BM87">SUMPRODUCT(--($AO87:$BF87 = (TRANSPOSE($Y$3:$Y$20)) + 3))</f>
        <v>1</v>
      </c>
      <c r="BN87" cm="1">
        <f t="array" ref="BN87">SUMPRODUCT(--($AO87:$BF87 &gt;= (TRANSPOSE($Y$3:$Y$20)) + 4))</f>
        <v>0</v>
      </c>
      <c r="BO87">
        <f t="shared" si="12"/>
        <v>1</v>
      </c>
      <c r="BT87" s="3" t="s">
        <v>24</v>
      </c>
      <c r="BU87">
        <v>-4</v>
      </c>
      <c r="BV87">
        <v>75</v>
      </c>
    </row>
    <row r="88" spans="38:81" x14ac:dyDescent="0.25">
      <c r="AL88" t="s">
        <v>37</v>
      </c>
      <c r="AM88">
        <v>18</v>
      </c>
      <c r="AN88">
        <v>2</v>
      </c>
      <c r="AO88">
        <v>4</v>
      </c>
      <c r="AP88">
        <v>5</v>
      </c>
      <c r="AQ88">
        <v>5</v>
      </c>
      <c r="AR88">
        <v>4</v>
      </c>
      <c r="AS88">
        <v>6</v>
      </c>
      <c r="AT88">
        <v>5</v>
      </c>
      <c r="AU88">
        <v>4</v>
      </c>
      <c r="AV88">
        <v>6</v>
      </c>
      <c r="AW88">
        <v>5</v>
      </c>
      <c r="AX88">
        <v>5</v>
      </c>
      <c r="AY88">
        <v>4</v>
      </c>
      <c r="AZ88">
        <v>5</v>
      </c>
      <c r="BA88">
        <v>6</v>
      </c>
      <c r="BB88">
        <v>6</v>
      </c>
      <c r="BC88">
        <v>6</v>
      </c>
      <c r="BD88">
        <v>3</v>
      </c>
      <c r="BE88">
        <v>5</v>
      </c>
      <c r="BF88">
        <v>6</v>
      </c>
      <c r="BG88">
        <f t="shared" si="11"/>
        <v>90</v>
      </c>
      <c r="BH88" cm="1">
        <f t="array" ref="BH88">SUMPRODUCT(--($AO88:$BF88 = TRANSPOSE($Y$3:$Y$20)))</f>
        <v>2</v>
      </c>
      <c r="BI88" cm="1">
        <f t="array" ref="BI88">SUMPRODUCT(--($AO88:$BF88 = (TRANSPOSE($Y$3:$Y$20)) - 1))</f>
        <v>1</v>
      </c>
      <c r="BJ88" cm="1">
        <f t="array" ref="BJ88">SUMPRODUCT(--($AO88:$BF88 = (TRANSPOSE($Y$3:$Y$20)) - 2))</f>
        <v>0</v>
      </c>
      <c r="BK88" cm="1">
        <f t="array" ref="BK88">SUMPRODUCT(--($AO88:$BF88 = (TRANSPOSE($Y$3:$Y$20)) + 1))</f>
        <v>10</v>
      </c>
      <c r="BL88" cm="1">
        <f t="array" ref="BL88">SUMPRODUCT(--($AO88:$BF88 = (TRANSPOSE($Y$3:$Y$20)) + 2))</f>
        <v>5</v>
      </c>
      <c r="BM88" cm="1">
        <f t="array" ref="BM88">SUMPRODUCT(--($AO88:$BF88 = (TRANSPOSE($Y$3:$Y$20)) + 3))</f>
        <v>0</v>
      </c>
      <c r="BN88" cm="1">
        <f t="array" ref="BN88">SUMPRODUCT(--($AO88:$BF88 &gt;= (TRANSPOSE($Y$3:$Y$20)) + 4))</f>
        <v>0</v>
      </c>
      <c r="BO88">
        <f t="shared" si="12"/>
        <v>1</v>
      </c>
      <c r="BT88" s="3" t="s">
        <v>51</v>
      </c>
      <c r="BU88">
        <v>-1</v>
      </c>
      <c r="BV88">
        <v>171</v>
      </c>
    </row>
    <row r="89" spans="38:81" x14ac:dyDescent="0.25">
      <c r="AL89" t="s">
        <v>26</v>
      </c>
      <c r="AM89">
        <v>16</v>
      </c>
      <c r="AN89">
        <v>1</v>
      </c>
      <c r="AO89">
        <v>7</v>
      </c>
      <c r="AP89">
        <v>5</v>
      </c>
      <c r="AQ89">
        <v>5</v>
      </c>
      <c r="AR89">
        <v>4</v>
      </c>
      <c r="AS89">
        <v>5</v>
      </c>
      <c r="AT89">
        <v>3</v>
      </c>
      <c r="AU89">
        <v>4</v>
      </c>
      <c r="AV89">
        <v>4</v>
      </c>
      <c r="AW89">
        <v>6</v>
      </c>
      <c r="AX89">
        <v>4</v>
      </c>
      <c r="AY89">
        <v>4</v>
      </c>
      <c r="AZ89">
        <v>8</v>
      </c>
      <c r="BA89">
        <v>5</v>
      </c>
      <c r="BB89">
        <v>6</v>
      </c>
      <c r="BC89">
        <v>5</v>
      </c>
      <c r="BD89">
        <v>3</v>
      </c>
      <c r="BE89">
        <v>6</v>
      </c>
      <c r="BF89">
        <v>4</v>
      </c>
      <c r="BG89">
        <f t="shared" si="11"/>
        <v>88</v>
      </c>
      <c r="BH89" cm="1">
        <f t="array" ref="BH89">SUMPRODUCT(--($AO89:$BF89 = TRANSPOSE($Y$3:$Y$20)))</f>
        <v>4</v>
      </c>
      <c r="BI89" cm="1">
        <f t="array" ref="BI89">SUMPRODUCT(--($AO89:$BF89 = (TRANSPOSE($Y$3:$Y$20)) - 1))</f>
        <v>0</v>
      </c>
      <c r="BJ89" cm="1">
        <f t="array" ref="BJ89">SUMPRODUCT(--($AO89:$BF89 = (TRANSPOSE($Y$3:$Y$20)) - 2))</f>
        <v>1</v>
      </c>
      <c r="BK89" cm="1">
        <f t="array" ref="BK89">SUMPRODUCT(--($AO89:$BF89 = (TRANSPOSE($Y$3:$Y$20)) + 1))</f>
        <v>9</v>
      </c>
      <c r="BL89" cm="1">
        <f t="array" ref="BL89">SUMPRODUCT(--($AO89:$BF89 = (TRANSPOSE($Y$3:$Y$20)) + 2))</f>
        <v>3</v>
      </c>
      <c r="BM89" cm="1">
        <f t="array" ref="BM89">SUMPRODUCT(--($AO89:$BF89 = (TRANSPOSE($Y$3:$Y$20)) + 3))</f>
        <v>0</v>
      </c>
      <c r="BN89" cm="1">
        <f t="array" ref="BN89">SUMPRODUCT(--($AO89:$BF89 &gt;= (TRANSPOSE($Y$3:$Y$20)) + 4))</f>
        <v>1</v>
      </c>
      <c r="BO89">
        <f t="shared" si="12"/>
        <v>1</v>
      </c>
      <c r="BT89" s="3" t="s">
        <v>26</v>
      </c>
      <c r="BU89">
        <v>0</v>
      </c>
      <c r="BV89">
        <v>174</v>
      </c>
    </row>
    <row r="90" spans="38:81" x14ac:dyDescent="0.25">
      <c r="AL90" t="s">
        <v>36</v>
      </c>
      <c r="AM90">
        <v>14</v>
      </c>
      <c r="AN90">
        <v>1</v>
      </c>
      <c r="AO90">
        <v>5</v>
      </c>
      <c r="AP90">
        <v>6</v>
      </c>
      <c r="AQ90">
        <v>5</v>
      </c>
      <c r="AR90">
        <v>4</v>
      </c>
      <c r="AS90">
        <v>4</v>
      </c>
      <c r="AT90">
        <v>4</v>
      </c>
      <c r="AU90">
        <v>4</v>
      </c>
      <c r="AV90">
        <v>6</v>
      </c>
      <c r="AW90">
        <v>5</v>
      </c>
      <c r="AX90">
        <v>5</v>
      </c>
      <c r="AY90">
        <v>5</v>
      </c>
      <c r="AZ90">
        <v>6</v>
      </c>
      <c r="BA90">
        <v>6</v>
      </c>
      <c r="BB90">
        <v>4</v>
      </c>
      <c r="BC90">
        <v>4</v>
      </c>
      <c r="BD90">
        <v>4</v>
      </c>
      <c r="BE90">
        <v>4</v>
      </c>
      <c r="BF90">
        <v>5</v>
      </c>
      <c r="BG90">
        <f t="shared" si="11"/>
        <v>86</v>
      </c>
      <c r="BH90" cm="1">
        <f t="array" ref="BH90">SUMPRODUCT(--($AO90:$BF90 = TRANSPOSE($Y$3:$Y$20)))</f>
        <v>4</v>
      </c>
      <c r="BI90" cm="1">
        <f t="array" ref="BI90">SUMPRODUCT(--($AO90:$BF90 = (TRANSPOSE($Y$3:$Y$20)) - 1))</f>
        <v>2</v>
      </c>
      <c r="BJ90" cm="1">
        <f t="array" ref="BJ90">SUMPRODUCT(--($AO90:$BF90 = (TRANSPOSE($Y$3:$Y$20)) - 2))</f>
        <v>0</v>
      </c>
      <c r="BK90" cm="1">
        <f t="array" ref="BK90">SUMPRODUCT(--($AO90:$BF90 = (TRANSPOSE($Y$3:$Y$20)) + 1))</f>
        <v>7</v>
      </c>
      <c r="BL90" cm="1">
        <f t="array" ref="BL90">SUMPRODUCT(--($AO90:$BF90 = (TRANSPOSE($Y$3:$Y$20)) + 2))</f>
        <v>5</v>
      </c>
      <c r="BM90" cm="1">
        <f t="array" ref="BM90">SUMPRODUCT(--($AO90:$BF90 = (TRANSPOSE($Y$3:$Y$20)) + 3))</f>
        <v>0</v>
      </c>
      <c r="BN90" cm="1">
        <f t="array" ref="BN90">SUMPRODUCT(--($AO90:$BF90 &gt;= (TRANSPOSE($Y$3:$Y$20)) + 4))</f>
        <v>0</v>
      </c>
      <c r="BO90">
        <f t="shared" si="12"/>
        <v>1</v>
      </c>
      <c r="BT90" s="3" t="s">
        <v>45</v>
      </c>
      <c r="BU90">
        <v>15</v>
      </c>
      <c r="BV90">
        <v>229</v>
      </c>
    </row>
    <row r="91" spans="38:81" x14ac:dyDescent="0.25">
      <c r="AL91" t="s">
        <v>41</v>
      </c>
      <c r="AM91">
        <v>14</v>
      </c>
      <c r="AN91">
        <v>1</v>
      </c>
      <c r="AO91">
        <v>5</v>
      </c>
      <c r="AP91">
        <v>4</v>
      </c>
      <c r="AQ91">
        <v>3</v>
      </c>
      <c r="AR91">
        <v>4</v>
      </c>
      <c r="AS91">
        <v>6</v>
      </c>
      <c r="AT91">
        <v>5</v>
      </c>
      <c r="AU91">
        <v>4</v>
      </c>
      <c r="AV91">
        <v>5</v>
      </c>
      <c r="AW91">
        <v>5</v>
      </c>
      <c r="AX91">
        <v>6</v>
      </c>
      <c r="AY91">
        <v>4</v>
      </c>
      <c r="AZ91">
        <v>6</v>
      </c>
      <c r="BA91">
        <v>5</v>
      </c>
      <c r="BB91">
        <v>6</v>
      </c>
      <c r="BC91">
        <v>4</v>
      </c>
      <c r="BD91">
        <v>3</v>
      </c>
      <c r="BE91">
        <v>6</v>
      </c>
      <c r="BF91">
        <v>5</v>
      </c>
      <c r="BG91">
        <f t="shared" si="11"/>
        <v>86</v>
      </c>
      <c r="BH91" cm="1">
        <f t="array" ref="BH91">SUMPRODUCT(--($AO91:$BF91 = TRANSPOSE($Y$3:$Y$20)))</f>
        <v>5</v>
      </c>
      <c r="BI91" cm="1">
        <f t="array" ref="BI91">SUMPRODUCT(--($AO91:$BF91 = (TRANSPOSE($Y$3:$Y$20)) - 1))</f>
        <v>1</v>
      </c>
      <c r="BJ91" cm="1">
        <f t="array" ref="BJ91">SUMPRODUCT(--($AO91:$BF91 = (TRANSPOSE($Y$3:$Y$20)) - 2))</f>
        <v>0</v>
      </c>
      <c r="BK91" cm="1">
        <f t="array" ref="BK91">SUMPRODUCT(--($AO91:$BF91 = (TRANSPOSE($Y$3:$Y$20)) + 1))</f>
        <v>8</v>
      </c>
      <c r="BL91" cm="1">
        <f t="array" ref="BL91">SUMPRODUCT(--($AO91:$BF91 = (TRANSPOSE($Y$3:$Y$20)) + 2))</f>
        <v>4</v>
      </c>
      <c r="BM91" cm="1">
        <f t="array" ref="BM91">SUMPRODUCT(--($AO91:$BF91 = (TRANSPOSE($Y$3:$Y$20)) + 3))</f>
        <v>0</v>
      </c>
      <c r="BN91" cm="1">
        <f t="array" ref="BN91">SUMPRODUCT(--($AO91:$BF91 &gt;= (TRANSPOSE($Y$3:$Y$20)) + 4))</f>
        <v>0</v>
      </c>
      <c r="BO91">
        <f t="shared" si="12"/>
        <v>1</v>
      </c>
      <c r="BT91" s="3" t="s">
        <v>49</v>
      </c>
      <c r="BU91">
        <v>2</v>
      </c>
      <c r="BV91">
        <v>172</v>
      </c>
      <c r="BW91" t="s">
        <v>0</v>
      </c>
      <c r="BX91" t="s">
        <v>104</v>
      </c>
      <c r="BY91" t="s">
        <v>105</v>
      </c>
      <c r="CA91" s="2" t="s">
        <v>87</v>
      </c>
      <c r="CB91" t="s">
        <v>106</v>
      </c>
      <c r="CC91" t="s">
        <v>107</v>
      </c>
    </row>
    <row r="92" spans="38:81" x14ac:dyDescent="0.25">
      <c r="AL92" t="s">
        <v>34</v>
      </c>
      <c r="AM92">
        <v>12</v>
      </c>
      <c r="AN92">
        <v>2</v>
      </c>
      <c r="AO92">
        <v>7</v>
      </c>
      <c r="AP92">
        <v>4</v>
      </c>
      <c r="AQ92">
        <v>4</v>
      </c>
      <c r="AR92">
        <v>3</v>
      </c>
      <c r="AS92">
        <v>4</v>
      </c>
      <c r="AT92">
        <v>4</v>
      </c>
      <c r="AU92">
        <v>5</v>
      </c>
      <c r="AV92">
        <v>3</v>
      </c>
      <c r="AW92">
        <v>5</v>
      </c>
      <c r="AX92">
        <v>5</v>
      </c>
      <c r="AY92">
        <v>3</v>
      </c>
      <c r="AZ92">
        <v>5</v>
      </c>
      <c r="BA92">
        <v>6</v>
      </c>
      <c r="BB92">
        <v>5</v>
      </c>
      <c r="BC92">
        <v>5</v>
      </c>
      <c r="BD92">
        <v>3</v>
      </c>
      <c r="BE92">
        <v>7</v>
      </c>
      <c r="BF92">
        <v>6</v>
      </c>
      <c r="BG92">
        <f t="shared" si="11"/>
        <v>84</v>
      </c>
      <c r="BH92" cm="1">
        <f t="array" ref="BH92">SUMPRODUCT(--($AO92:$BF92 = TRANSPOSE($Y$3:$Y$20)))</f>
        <v>7</v>
      </c>
      <c r="BI92" cm="1">
        <f t="array" ref="BI92">SUMPRODUCT(--($AO92:$BF92 = (TRANSPOSE($Y$3:$Y$20)) - 1))</f>
        <v>2</v>
      </c>
      <c r="BJ92" cm="1">
        <f t="array" ref="BJ92">SUMPRODUCT(--($AO92:$BF92 = (TRANSPOSE($Y$3:$Y$20)) - 2))</f>
        <v>0</v>
      </c>
      <c r="BK92" cm="1">
        <f t="array" ref="BK92">SUMPRODUCT(--($AO92:$BF92 = (TRANSPOSE($Y$3:$Y$20)) + 1))</f>
        <v>4</v>
      </c>
      <c r="BL92" cm="1">
        <f t="array" ref="BL92">SUMPRODUCT(--($AO92:$BF92 = (TRANSPOSE($Y$3:$Y$20)) + 2))</f>
        <v>4</v>
      </c>
      <c r="BM92" cm="1">
        <f t="array" ref="BM92">SUMPRODUCT(--($AO92:$BF92 = (TRANSPOSE($Y$3:$Y$20)) + 3))</f>
        <v>1</v>
      </c>
      <c r="BN92" cm="1">
        <f t="array" ref="BN92">SUMPRODUCT(--($AO92:$BF92 &gt;= (TRANSPOSE($Y$3:$Y$20)) + 4))</f>
        <v>0</v>
      </c>
      <c r="BO92">
        <f t="shared" si="12"/>
        <v>1</v>
      </c>
      <c r="BT92" s="3" t="s">
        <v>52</v>
      </c>
      <c r="BU92">
        <v>15</v>
      </c>
      <c r="BV92">
        <v>217</v>
      </c>
      <c r="BW92" s="3" t="s">
        <v>22</v>
      </c>
      <c r="BX92">
        <v>-2</v>
      </c>
      <c r="BY92">
        <v>8</v>
      </c>
      <c r="CA92" s="3" t="s">
        <v>22</v>
      </c>
      <c r="CB92">
        <v>-2</v>
      </c>
      <c r="CC92">
        <v>8</v>
      </c>
    </row>
    <row r="93" spans="38:81" x14ac:dyDescent="0.25">
      <c r="AL93" t="s">
        <v>32</v>
      </c>
      <c r="AM93">
        <v>6</v>
      </c>
      <c r="AN93">
        <v>1</v>
      </c>
      <c r="AO93">
        <v>6</v>
      </c>
      <c r="AP93">
        <v>4</v>
      </c>
      <c r="AQ93">
        <v>5</v>
      </c>
      <c r="AR93">
        <v>3</v>
      </c>
      <c r="AS93">
        <v>4</v>
      </c>
      <c r="AT93">
        <v>5</v>
      </c>
      <c r="AU93">
        <v>4</v>
      </c>
      <c r="AV93">
        <v>4</v>
      </c>
      <c r="AW93">
        <v>4</v>
      </c>
      <c r="AX93">
        <v>5</v>
      </c>
      <c r="AY93">
        <v>6</v>
      </c>
      <c r="AZ93">
        <v>3</v>
      </c>
      <c r="BA93">
        <v>5</v>
      </c>
      <c r="BB93">
        <v>4</v>
      </c>
      <c r="BC93">
        <v>5</v>
      </c>
      <c r="BD93">
        <v>4</v>
      </c>
      <c r="BE93">
        <v>3</v>
      </c>
      <c r="BF93">
        <v>4</v>
      </c>
      <c r="BG93">
        <f t="shared" si="11"/>
        <v>78</v>
      </c>
      <c r="BH93" cm="1">
        <f t="array" ref="BH93">SUMPRODUCT(--($AO93:$BF93 = TRANSPOSE($Y$3:$Y$20)))</f>
        <v>7</v>
      </c>
      <c r="BI93" cm="1">
        <f t="array" ref="BI93">SUMPRODUCT(--($AO93:$BF93 = (TRANSPOSE($Y$3:$Y$20)) - 1))</f>
        <v>3</v>
      </c>
      <c r="BJ93" cm="1">
        <f t="array" ref="BJ93">SUMPRODUCT(--($AO93:$BF93 = (TRANSPOSE($Y$3:$Y$20)) - 2))</f>
        <v>0</v>
      </c>
      <c r="BK93" cm="1">
        <f t="array" ref="BK93">SUMPRODUCT(--($AO93:$BF93 = (TRANSPOSE($Y$3:$Y$20)) + 1))</f>
        <v>7</v>
      </c>
      <c r="BL93" cm="1">
        <f t="array" ref="BL93">SUMPRODUCT(--($AO93:$BF93 = (TRANSPOSE($Y$3:$Y$20)) + 2))</f>
        <v>0</v>
      </c>
      <c r="BM93" cm="1">
        <f t="array" ref="BM93">SUMPRODUCT(--($AO93:$BF93 = (TRANSPOSE($Y$3:$Y$20)) + 3))</f>
        <v>1</v>
      </c>
      <c r="BN93" cm="1">
        <f t="array" ref="BN93">SUMPRODUCT(--($AO93:$BF93 &gt;= (TRANSPOSE($Y$3:$Y$20)) + 4))</f>
        <v>0</v>
      </c>
      <c r="BO93">
        <f t="shared" si="12"/>
        <v>1</v>
      </c>
      <c r="BT93" s="3" t="s">
        <v>41</v>
      </c>
      <c r="BU93">
        <v>-2</v>
      </c>
      <c r="BV93">
        <v>168</v>
      </c>
      <c r="BW93" s="3" t="s">
        <v>25</v>
      </c>
      <c r="BX93">
        <v>0</v>
      </c>
      <c r="BY93">
        <v>14</v>
      </c>
      <c r="CA93" s="3" t="s">
        <v>25</v>
      </c>
      <c r="CB93">
        <v>0</v>
      </c>
      <c r="CC93">
        <v>14</v>
      </c>
    </row>
    <row r="94" spans="38:81" x14ac:dyDescent="0.25">
      <c r="AL94" t="s">
        <v>23</v>
      </c>
      <c r="AM94">
        <v>22</v>
      </c>
      <c r="AN94">
        <v>2</v>
      </c>
      <c r="AO94">
        <v>6</v>
      </c>
      <c r="AP94">
        <v>6</v>
      </c>
      <c r="AQ94">
        <v>5</v>
      </c>
      <c r="AR94">
        <v>2</v>
      </c>
      <c r="AS94">
        <v>5</v>
      </c>
      <c r="AT94">
        <v>6</v>
      </c>
      <c r="AU94">
        <v>5</v>
      </c>
      <c r="AV94">
        <v>4</v>
      </c>
      <c r="AW94">
        <v>5</v>
      </c>
      <c r="AX94">
        <v>10</v>
      </c>
      <c r="AY94">
        <v>3</v>
      </c>
      <c r="AZ94">
        <v>5</v>
      </c>
      <c r="BA94">
        <v>5</v>
      </c>
      <c r="BB94">
        <v>6</v>
      </c>
      <c r="BC94">
        <v>5</v>
      </c>
      <c r="BD94">
        <v>4</v>
      </c>
      <c r="BE94">
        <v>6</v>
      </c>
      <c r="BF94">
        <v>5</v>
      </c>
      <c r="BG94">
        <f t="shared" ref="BG94:BG121" si="13">SUM(AO94:BF94)</f>
        <v>93</v>
      </c>
      <c r="BH94" cm="1">
        <f t="array" ref="BH94">SUMPRODUCT(--($AO94:$BF94 = TRANSPOSE($Y$3:$Y$20)))</f>
        <v>2</v>
      </c>
      <c r="BI94" cm="1">
        <f t="array" ref="BI94">SUMPRODUCT(--($AO94:$BF94 = (TRANSPOSE($Y$3:$Y$20)) - 1))</f>
        <v>1</v>
      </c>
      <c r="BJ94" cm="1">
        <f t="array" ref="BJ94">SUMPRODUCT(--($AO94:$BF94 = (TRANSPOSE($Y$3:$Y$20)) - 2))</f>
        <v>0</v>
      </c>
      <c r="BK94" cm="1">
        <f t="array" ref="BK94">SUMPRODUCT(--($AO94:$BF94 = (TRANSPOSE($Y$3:$Y$20)) + 1))</f>
        <v>11</v>
      </c>
      <c r="BL94" cm="1">
        <f t="array" ref="BL94">SUMPRODUCT(--($AO94:$BF94 = (TRANSPOSE($Y$3:$Y$20)) + 2))</f>
        <v>3</v>
      </c>
      <c r="BM94" cm="1">
        <f t="array" ref="BM94">SUMPRODUCT(--($AO94:$BF94 = (TRANSPOSE($Y$3:$Y$20)) + 3))</f>
        <v>0</v>
      </c>
      <c r="BN94" cm="1">
        <f t="array" ref="BN94">SUMPRODUCT(--($AO94:$BF94 &gt;= (TRANSPOSE($Y$3:$Y$20)) + 4))</f>
        <v>1</v>
      </c>
      <c r="BO94">
        <f t="shared" ref="BO94:BO121" si="14">$BG94 - 71 - $AM94</f>
        <v>0</v>
      </c>
      <c r="BT94" s="3" t="s">
        <v>28</v>
      </c>
      <c r="BU94">
        <v>-6</v>
      </c>
      <c r="BV94">
        <v>172</v>
      </c>
      <c r="BW94" s="3" t="s">
        <v>43</v>
      </c>
      <c r="BX94">
        <v>8</v>
      </c>
      <c r="BY94">
        <v>26</v>
      </c>
      <c r="CA94" s="3" t="s">
        <v>43</v>
      </c>
      <c r="CB94">
        <v>8</v>
      </c>
      <c r="CC94">
        <v>26</v>
      </c>
    </row>
    <row r="95" spans="38:81" x14ac:dyDescent="0.25">
      <c r="AL95" t="s">
        <v>22</v>
      </c>
      <c r="AM95">
        <v>18</v>
      </c>
      <c r="AN95">
        <v>2</v>
      </c>
      <c r="AO95">
        <v>7</v>
      </c>
      <c r="AP95">
        <v>5</v>
      </c>
      <c r="AQ95">
        <v>5</v>
      </c>
      <c r="AR95">
        <v>5</v>
      </c>
      <c r="AS95">
        <v>6</v>
      </c>
      <c r="AT95">
        <v>3</v>
      </c>
      <c r="AU95">
        <v>7</v>
      </c>
      <c r="AV95">
        <v>6</v>
      </c>
      <c r="AW95">
        <v>4</v>
      </c>
      <c r="AX95">
        <v>6</v>
      </c>
      <c r="AY95">
        <v>3</v>
      </c>
      <c r="AZ95">
        <v>4</v>
      </c>
      <c r="BA95">
        <v>5</v>
      </c>
      <c r="BB95">
        <v>5</v>
      </c>
      <c r="BC95">
        <v>4</v>
      </c>
      <c r="BD95">
        <v>3</v>
      </c>
      <c r="BE95">
        <v>5</v>
      </c>
      <c r="BF95">
        <v>6</v>
      </c>
      <c r="BG95">
        <f t="shared" si="13"/>
        <v>89</v>
      </c>
      <c r="BH95" cm="1">
        <f t="array" ref="BH95">SUMPRODUCT(--($AO95:$BF95 = TRANSPOSE($Y$3:$Y$20)))</f>
        <v>6</v>
      </c>
      <c r="BI95" cm="1">
        <f t="array" ref="BI95">SUMPRODUCT(--($AO95:$BF95 = (TRANSPOSE($Y$3:$Y$20)) - 1))</f>
        <v>0</v>
      </c>
      <c r="BJ95" cm="1">
        <f t="array" ref="BJ95">SUMPRODUCT(--($AO95:$BF95 = (TRANSPOSE($Y$3:$Y$20)) - 2))</f>
        <v>1</v>
      </c>
      <c r="BK95" cm="1">
        <f t="array" ref="BK95">SUMPRODUCT(--($AO95:$BF95 = (TRANSPOSE($Y$3:$Y$20)) + 1))</f>
        <v>4</v>
      </c>
      <c r="BL95" cm="1">
        <f t="array" ref="BL95">SUMPRODUCT(--($AO95:$BF95 = (TRANSPOSE($Y$3:$Y$20)) + 2))</f>
        <v>6</v>
      </c>
      <c r="BM95" cm="1">
        <f t="array" ref="BM95">SUMPRODUCT(--($AO95:$BF95 = (TRANSPOSE($Y$3:$Y$20)) + 3))</f>
        <v>0</v>
      </c>
      <c r="BN95" cm="1">
        <f t="array" ref="BN95">SUMPRODUCT(--($AO95:$BF95 &gt;= (TRANSPOSE($Y$3:$Y$20)) + 4))</f>
        <v>1</v>
      </c>
      <c r="BO95">
        <f t="shared" si="14"/>
        <v>0</v>
      </c>
      <c r="BT95" s="3" t="s">
        <v>44</v>
      </c>
      <c r="BU95">
        <v>-7</v>
      </c>
      <c r="BV95">
        <v>195</v>
      </c>
      <c r="BW95" s="3" t="s">
        <v>46</v>
      </c>
      <c r="BX95">
        <v>16</v>
      </c>
      <c r="BY95">
        <v>32</v>
      </c>
      <c r="CA95" s="3" t="s">
        <v>46</v>
      </c>
      <c r="CB95">
        <v>16</v>
      </c>
      <c r="CC95">
        <v>32</v>
      </c>
    </row>
    <row r="96" spans="38:81" x14ac:dyDescent="0.25">
      <c r="AL96" t="s">
        <v>35</v>
      </c>
      <c r="AM96">
        <v>15</v>
      </c>
      <c r="AN96">
        <v>2</v>
      </c>
      <c r="AO96">
        <v>7</v>
      </c>
      <c r="AP96">
        <v>5</v>
      </c>
      <c r="AQ96">
        <v>3</v>
      </c>
      <c r="AR96">
        <v>3</v>
      </c>
      <c r="AS96">
        <v>6</v>
      </c>
      <c r="AT96">
        <v>5</v>
      </c>
      <c r="AU96">
        <v>6</v>
      </c>
      <c r="AV96">
        <v>4</v>
      </c>
      <c r="AW96">
        <v>4</v>
      </c>
      <c r="AX96">
        <v>4</v>
      </c>
      <c r="AY96">
        <v>3</v>
      </c>
      <c r="AZ96">
        <v>4</v>
      </c>
      <c r="BA96">
        <v>4</v>
      </c>
      <c r="BB96">
        <v>7</v>
      </c>
      <c r="BC96">
        <v>5</v>
      </c>
      <c r="BD96">
        <v>5</v>
      </c>
      <c r="BE96">
        <v>5</v>
      </c>
      <c r="BF96">
        <v>6</v>
      </c>
      <c r="BG96">
        <f t="shared" si="13"/>
        <v>86</v>
      </c>
      <c r="BH96" cm="1">
        <f t="array" ref="BH96">SUMPRODUCT(--($AO96:$BF96 = TRANSPOSE($Y$3:$Y$20)))</f>
        <v>8</v>
      </c>
      <c r="BI96" cm="1">
        <f t="array" ref="BI96">SUMPRODUCT(--($AO96:$BF96 = (TRANSPOSE($Y$3:$Y$20)) - 1))</f>
        <v>1</v>
      </c>
      <c r="BJ96" cm="1">
        <f t="array" ref="BJ96">SUMPRODUCT(--($AO96:$BF96 = (TRANSPOSE($Y$3:$Y$20)) - 2))</f>
        <v>0</v>
      </c>
      <c r="BK96" cm="1">
        <f t="array" ref="BK96">SUMPRODUCT(--($AO96:$BF96 = (TRANSPOSE($Y$3:$Y$20)) + 1))</f>
        <v>3</v>
      </c>
      <c r="BL96" cm="1">
        <f t="array" ref="BL96">SUMPRODUCT(--($AO96:$BF96 = (TRANSPOSE($Y$3:$Y$20)) + 2))</f>
        <v>5</v>
      </c>
      <c r="BM96" cm="1">
        <f t="array" ref="BM96">SUMPRODUCT(--($AO96:$BF96 = (TRANSPOSE($Y$3:$Y$20)) + 3))</f>
        <v>1</v>
      </c>
      <c r="BN96" cm="1">
        <f t="array" ref="BN96">SUMPRODUCT(--($AO96:$BF96 &gt;= (TRANSPOSE($Y$3:$Y$20)) + 4))</f>
        <v>0</v>
      </c>
      <c r="BO96">
        <f t="shared" si="14"/>
        <v>0</v>
      </c>
      <c r="BT96" s="3" t="s">
        <v>38</v>
      </c>
      <c r="BU96">
        <v>8</v>
      </c>
      <c r="BV96">
        <v>182</v>
      </c>
      <c r="BW96" s="3" t="s">
        <v>29</v>
      </c>
      <c r="BX96">
        <v>-1</v>
      </c>
      <c r="BY96">
        <v>12</v>
      </c>
      <c r="CA96" s="3" t="s">
        <v>29</v>
      </c>
      <c r="CB96">
        <v>-1</v>
      </c>
      <c r="CC96">
        <v>12</v>
      </c>
    </row>
    <row r="97" spans="38:81" x14ac:dyDescent="0.25">
      <c r="AL97" t="s">
        <v>47</v>
      </c>
      <c r="AM97">
        <v>6</v>
      </c>
      <c r="AN97">
        <v>1</v>
      </c>
      <c r="AO97">
        <v>5</v>
      </c>
      <c r="AP97">
        <v>4</v>
      </c>
      <c r="AQ97">
        <v>5</v>
      </c>
      <c r="AR97">
        <v>4</v>
      </c>
      <c r="AS97">
        <v>4</v>
      </c>
      <c r="AT97">
        <v>5</v>
      </c>
      <c r="AU97">
        <v>3</v>
      </c>
      <c r="AV97">
        <v>4</v>
      </c>
      <c r="AW97">
        <v>5</v>
      </c>
      <c r="AX97">
        <v>7</v>
      </c>
      <c r="AY97">
        <v>3</v>
      </c>
      <c r="AZ97">
        <v>4</v>
      </c>
      <c r="BA97">
        <v>4</v>
      </c>
      <c r="BB97">
        <v>4</v>
      </c>
      <c r="BC97">
        <v>4</v>
      </c>
      <c r="BD97">
        <v>4</v>
      </c>
      <c r="BE97">
        <v>4</v>
      </c>
      <c r="BF97">
        <v>4</v>
      </c>
      <c r="BG97">
        <f t="shared" si="13"/>
        <v>77</v>
      </c>
      <c r="BH97" cm="1">
        <f t="array" ref="BH97">SUMPRODUCT(--($AO97:$BF97 = TRANSPOSE($Y$3:$Y$20)))</f>
        <v>12</v>
      </c>
      <c r="BI97" cm="1">
        <f t="array" ref="BI97">SUMPRODUCT(--($AO97:$BF97 = (TRANSPOSE($Y$3:$Y$20)) - 1))</f>
        <v>1</v>
      </c>
      <c r="BJ97" cm="1">
        <f t="array" ref="BJ97">SUMPRODUCT(--($AO97:$BF97 = (TRANSPOSE($Y$3:$Y$20)) - 2))</f>
        <v>0</v>
      </c>
      <c r="BK97" cm="1">
        <f t="array" ref="BK97">SUMPRODUCT(--($AO97:$BF97 = (TRANSPOSE($Y$3:$Y$20)) + 1))</f>
        <v>4</v>
      </c>
      <c r="BL97" cm="1">
        <f t="array" ref="BL97">SUMPRODUCT(--($AO97:$BF97 = (TRANSPOSE($Y$3:$Y$20)) + 2))</f>
        <v>0</v>
      </c>
      <c r="BM97" cm="1">
        <f t="array" ref="BM97">SUMPRODUCT(--($AO97:$BF97 = (TRANSPOSE($Y$3:$Y$20)) + 3))</f>
        <v>1</v>
      </c>
      <c r="BN97" cm="1">
        <f t="array" ref="BN97">SUMPRODUCT(--($AO97:$BF97 &gt;= (TRANSPOSE($Y$3:$Y$20)) + 4))</f>
        <v>0</v>
      </c>
      <c r="BO97">
        <f t="shared" si="14"/>
        <v>0</v>
      </c>
      <c r="BT97" s="3" t="s">
        <v>48</v>
      </c>
      <c r="BU97">
        <v>5</v>
      </c>
      <c r="BV97">
        <v>187</v>
      </c>
      <c r="BW97" s="3" t="s">
        <v>27</v>
      </c>
      <c r="BX97">
        <v>-2</v>
      </c>
      <c r="BY97">
        <v>8</v>
      </c>
      <c r="CA97" s="3" t="s">
        <v>27</v>
      </c>
      <c r="CB97">
        <v>-2</v>
      </c>
      <c r="CC97">
        <v>8</v>
      </c>
    </row>
    <row r="98" spans="38:81" x14ac:dyDescent="0.25">
      <c r="AL98" t="s">
        <v>50</v>
      </c>
      <c r="AM98">
        <v>25</v>
      </c>
      <c r="AN98">
        <v>2</v>
      </c>
      <c r="AO98">
        <v>6</v>
      </c>
      <c r="AP98">
        <v>5</v>
      </c>
      <c r="AQ98">
        <v>4</v>
      </c>
      <c r="AR98">
        <v>4</v>
      </c>
      <c r="AS98">
        <v>7</v>
      </c>
      <c r="AT98">
        <v>4</v>
      </c>
      <c r="AU98">
        <v>5</v>
      </c>
      <c r="AV98">
        <v>6</v>
      </c>
      <c r="AW98">
        <v>7</v>
      </c>
      <c r="AX98">
        <v>6</v>
      </c>
      <c r="AY98">
        <v>6</v>
      </c>
      <c r="AZ98">
        <v>5</v>
      </c>
      <c r="BA98">
        <v>4</v>
      </c>
      <c r="BB98">
        <v>6</v>
      </c>
      <c r="BC98">
        <v>6</v>
      </c>
      <c r="BD98">
        <v>3</v>
      </c>
      <c r="BE98">
        <v>4</v>
      </c>
      <c r="BF98">
        <v>7</v>
      </c>
      <c r="BG98">
        <f t="shared" si="13"/>
        <v>95</v>
      </c>
      <c r="BH98" cm="1">
        <f t="array" ref="BH98">SUMPRODUCT(--($AO98:$BF98 = TRANSPOSE($Y$3:$Y$20)))</f>
        <v>4</v>
      </c>
      <c r="BI98" cm="1">
        <f t="array" ref="BI98">SUMPRODUCT(--($AO98:$BF98 = (TRANSPOSE($Y$3:$Y$20)) - 1))</f>
        <v>1</v>
      </c>
      <c r="BJ98" cm="1">
        <f t="array" ref="BJ98">SUMPRODUCT(--($AO98:$BF98 = (TRANSPOSE($Y$3:$Y$20)) - 2))</f>
        <v>0</v>
      </c>
      <c r="BK98" cm="1">
        <f t="array" ref="BK98">SUMPRODUCT(--($AO98:$BF98 = (TRANSPOSE($Y$3:$Y$20)) + 1))</f>
        <v>5</v>
      </c>
      <c r="BL98" cm="1">
        <f t="array" ref="BL98">SUMPRODUCT(--($AO98:$BF98 = (TRANSPOSE($Y$3:$Y$20)) + 2))</f>
        <v>4</v>
      </c>
      <c r="BM98" cm="1">
        <f t="array" ref="BM98">SUMPRODUCT(--($AO98:$BF98 = (TRANSPOSE($Y$3:$Y$20)) + 3))</f>
        <v>4</v>
      </c>
      <c r="BN98" cm="1">
        <f t="array" ref="BN98">SUMPRODUCT(--($AO98:$BF98 &gt;= (TRANSPOSE($Y$3:$Y$20)) + 4))</f>
        <v>0</v>
      </c>
      <c r="BO98">
        <f t="shared" si="14"/>
        <v>-1</v>
      </c>
      <c r="BT98" s="3" t="s">
        <v>47</v>
      </c>
      <c r="BU98">
        <v>0</v>
      </c>
      <c r="BV98">
        <v>77</v>
      </c>
      <c r="BW98" s="3" t="s">
        <v>32</v>
      </c>
      <c r="BX98">
        <v>3</v>
      </c>
      <c r="BY98">
        <v>20</v>
      </c>
      <c r="CA98" s="3" t="s">
        <v>32</v>
      </c>
      <c r="CB98">
        <v>3</v>
      </c>
      <c r="CC98">
        <v>20</v>
      </c>
    </row>
    <row r="99" spans="38:81" x14ac:dyDescent="0.25">
      <c r="AL99" t="s">
        <v>26</v>
      </c>
      <c r="AM99">
        <v>16</v>
      </c>
      <c r="AN99">
        <v>2</v>
      </c>
      <c r="AO99">
        <v>5</v>
      </c>
      <c r="AP99">
        <v>5</v>
      </c>
      <c r="AQ99">
        <v>5</v>
      </c>
      <c r="AR99">
        <v>3</v>
      </c>
      <c r="AS99">
        <v>5</v>
      </c>
      <c r="AT99">
        <v>5</v>
      </c>
      <c r="AU99">
        <v>5</v>
      </c>
      <c r="AV99">
        <v>4</v>
      </c>
      <c r="AW99">
        <v>4</v>
      </c>
      <c r="AX99">
        <v>7</v>
      </c>
      <c r="AY99">
        <v>3</v>
      </c>
      <c r="AZ99">
        <v>5</v>
      </c>
      <c r="BA99">
        <v>5</v>
      </c>
      <c r="BB99">
        <v>5</v>
      </c>
      <c r="BC99">
        <v>4</v>
      </c>
      <c r="BD99">
        <v>3</v>
      </c>
      <c r="BE99">
        <v>6</v>
      </c>
      <c r="BF99">
        <v>7</v>
      </c>
      <c r="BG99">
        <f t="shared" si="13"/>
        <v>86</v>
      </c>
      <c r="BH99" cm="1">
        <f t="array" ref="BH99">SUMPRODUCT(--($AO99:$BF99 = TRANSPOSE($Y$3:$Y$20)))</f>
        <v>9</v>
      </c>
      <c r="BI99" cm="1">
        <f t="array" ref="BI99">SUMPRODUCT(--($AO99:$BF99 = (TRANSPOSE($Y$3:$Y$20)) - 1))</f>
        <v>0</v>
      </c>
      <c r="BJ99" cm="1">
        <f t="array" ref="BJ99">SUMPRODUCT(--($AO99:$BF99 = (TRANSPOSE($Y$3:$Y$20)) - 2))</f>
        <v>0</v>
      </c>
      <c r="BK99" cm="1">
        <f t="array" ref="BK99">SUMPRODUCT(--($AO99:$BF99 = (TRANSPOSE($Y$3:$Y$20)) + 1))</f>
        <v>5</v>
      </c>
      <c r="BL99" cm="1">
        <f t="array" ref="BL99">SUMPRODUCT(--($AO99:$BF99 = (TRANSPOSE($Y$3:$Y$20)) + 2))</f>
        <v>2</v>
      </c>
      <c r="BM99" cm="1">
        <f t="array" ref="BM99">SUMPRODUCT(--($AO99:$BF99 = (TRANSPOSE($Y$3:$Y$20)) + 3))</f>
        <v>2</v>
      </c>
      <c r="BN99" cm="1">
        <f t="array" ref="BN99">SUMPRODUCT(--($AO99:$BF99 &gt;= (TRANSPOSE($Y$3:$Y$20)) + 4))</f>
        <v>0</v>
      </c>
      <c r="BO99">
        <f t="shared" si="14"/>
        <v>-1</v>
      </c>
      <c r="BT99" s="3" t="s">
        <v>37</v>
      </c>
      <c r="BU99">
        <v>-2</v>
      </c>
      <c r="BV99">
        <v>176</v>
      </c>
      <c r="BW99" s="3" t="s">
        <v>53</v>
      </c>
      <c r="BX99">
        <v>-4</v>
      </c>
      <c r="BY99">
        <v>4</v>
      </c>
      <c r="CA99" s="3" t="s">
        <v>53</v>
      </c>
      <c r="CB99">
        <v>-4</v>
      </c>
      <c r="CC99">
        <v>4</v>
      </c>
    </row>
    <row r="100" spans="38:81" x14ac:dyDescent="0.25">
      <c r="AL100" t="s">
        <v>29</v>
      </c>
      <c r="AM100">
        <v>10</v>
      </c>
      <c r="AN100">
        <v>1</v>
      </c>
      <c r="AO100">
        <v>4</v>
      </c>
      <c r="AP100">
        <v>5</v>
      </c>
      <c r="AQ100">
        <v>4</v>
      </c>
      <c r="AR100">
        <v>3</v>
      </c>
      <c r="AS100">
        <v>5</v>
      </c>
      <c r="AT100">
        <v>5</v>
      </c>
      <c r="AU100">
        <v>3</v>
      </c>
      <c r="AV100">
        <v>5</v>
      </c>
      <c r="AW100">
        <v>4</v>
      </c>
      <c r="AX100">
        <v>5</v>
      </c>
      <c r="AY100">
        <v>4</v>
      </c>
      <c r="AZ100">
        <v>4</v>
      </c>
      <c r="BA100">
        <v>6</v>
      </c>
      <c r="BB100">
        <v>5</v>
      </c>
      <c r="BC100">
        <v>5</v>
      </c>
      <c r="BD100">
        <v>3</v>
      </c>
      <c r="BE100">
        <v>5</v>
      </c>
      <c r="BF100">
        <v>5</v>
      </c>
      <c r="BG100">
        <f t="shared" si="13"/>
        <v>80</v>
      </c>
      <c r="BH100" cm="1">
        <f t="array" ref="BH100">SUMPRODUCT(--($AO100:$BF100 = TRANSPOSE($Y$3:$Y$20)))</f>
        <v>8</v>
      </c>
      <c r="BI100" cm="1">
        <f t="array" ref="BI100">SUMPRODUCT(--($AO100:$BF100 = (TRANSPOSE($Y$3:$Y$20)) - 1))</f>
        <v>1</v>
      </c>
      <c r="BJ100" cm="1">
        <f t="array" ref="BJ100">SUMPRODUCT(--($AO100:$BF100 = (TRANSPOSE($Y$3:$Y$20)) - 2))</f>
        <v>0</v>
      </c>
      <c r="BK100" cm="1">
        <f t="array" ref="BK100">SUMPRODUCT(--($AO100:$BF100 = (TRANSPOSE($Y$3:$Y$20)) + 1))</f>
        <v>8</v>
      </c>
      <c r="BL100" cm="1">
        <f t="array" ref="BL100">SUMPRODUCT(--($AO100:$BF100 = (TRANSPOSE($Y$3:$Y$20)) + 2))</f>
        <v>1</v>
      </c>
      <c r="BM100" cm="1">
        <f t="array" ref="BM100">SUMPRODUCT(--($AO100:$BF100 = (TRANSPOSE($Y$3:$Y$20)) + 3))</f>
        <v>0</v>
      </c>
      <c r="BN100" cm="1">
        <f t="array" ref="BN100">SUMPRODUCT(--($AO100:$BF100 &gt;= (TRANSPOSE($Y$3:$Y$20)) + 4))</f>
        <v>0</v>
      </c>
      <c r="BO100">
        <f t="shared" si="14"/>
        <v>-1</v>
      </c>
      <c r="BT100" s="3" t="s">
        <v>57</v>
      </c>
      <c r="BU100">
        <v>69</v>
      </c>
      <c r="BV100">
        <v>5483</v>
      </c>
      <c r="BW100" s="3" t="s">
        <v>34</v>
      </c>
      <c r="BX100">
        <v>15</v>
      </c>
      <c r="BY100">
        <v>29</v>
      </c>
      <c r="CA100" s="3" t="s">
        <v>34</v>
      </c>
      <c r="CB100">
        <v>15</v>
      </c>
      <c r="CC100">
        <v>29</v>
      </c>
    </row>
    <row r="101" spans="38:81" x14ac:dyDescent="0.25">
      <c r="AL101" t="s">
        <v>40</v>
      </c>
      <c r="AM101">
        <v>7</v>
      </c>
      <c r="AN101">
        <v>1</v>
      </c>
      <c r="AO101">
        <v>5</v>
      </c>
      <c r="AP101">
        <v>4</v>
      </c>
      <c r="AQ101">
        <v>4</v>
      </c>
      <c r="AR101">
        <v>3</v>
      </c>
      <c r="AS101">
        <v>4</v>
      </c>
      <c r="AT101">
        <v>7</v>
      </c>
      <c r="AU101">
        <v>4</v>
      </c>
      <c r="AV101">
        <v>3</v>
      </c>
      <c r="AW101">
        <v>4</v>
      </c>
      <c r="AX101">
        <v>6</v>
      </c>
      <c r="AY101">
        <v>3</v>
      </c>
      <c r="AZ101">
        <v>4</v>
      </c>
      <c r="BA101">
        <v>5</v>
      </c>
      <c r="BB101">
        <v>4</v>
      </c>
      <c r="BC101">
        <v>4</v>
      </c>
      <c r="BD101">
        <v>3</v>
      </c>
      <c r="BE101">
        <v>5</v>
      </c>
      <c r="BF101">
        <v>5</v>
      </c>
      <c r="BG101">
        <f t="shared" si="13"/>
        <v>77</v>
      </c>
      <c r="BH101" cm="1">
        <f t="array" ref="BH101">SUMPRODUCT(--($AO101:$BF101 = TRANSPOSE($Y$3:$Y$20)))</f>
        <v>10</v>
      </c>
      <c r="BI101" cm="1">
        <f t="array" ref="BI101">SUMPRODUCT(--($AO101:$BF101 = (TRANSPOSE($Y$3:$Y$20)) - 1))</f>
        <v>2</v>
      </c>
      <c r="BJ101" cm="1">
        <f t="array" ref="BJ101">SUMPRODUCT(--($AO101:$BF101 = (TRANSPOSE($Y$3:$Y$20)) - 2))</f>
        <v>0</v>
      </c>
      <c r="BK101" cm="1">
        <f t="array" ref="BK101">SUMPRODUCT(--($AO101:$BF101 = (TRANSPOSE($Y$3:$Y$20)) + 1))</f>
        <v>4</v>
      </c>
      <c r="BL101" cm="1">
        <f t="array" ref="BL101">SUMPRODUCT(--($AO101:$BF101 = (TRANSPOSE($Y$3:$Y$20)) + 2))</f>
        <v>2</v>
      </c>
      <c r="BM101" cm="1">
        <f t="array" ref="BM101">SUMPRODUCT(--($AO101:$BF101 = (TRANSPOSE($Y$3:$Y$20)) + 3))</f>
        <v>0</v>
      </c>
      <c r="BN101" cm="1">
        <f t="array" ref="BN101">SUMPRODUCT(--($AO101:$BF101 &gt;= (TRANSPOSE($Y$3:$Y$20)) + 4))</f>
        <v>0</v>
      </c>
      <c r="BO101">
        <f t="shared" si="14"/>
        <v>-1</v>
      </c>
      <c r="BW101" s="3" t="s">
        <v>39</v>
      </c>
      <c r="BX101">
        <v>3</v>
      </c>
      <c r="BY101">
        <v>20</v>
      </c>
      <c r="CA101" s="3" t="s">
        <v>39</v>
      </c>
      <c r="CB101">
        <v>3</v>
      </c>
      <c r="CC101">
        <v>20</v>
      </c>
    </row>
    <row r="102" spans="38:81" x14ac:dyDescent="0.25">
      <c r="AL102" t="s">
        <v>30</v>
      </c>
      <c r="AM102">
        <v>27</v>
      </c>
      <c r="AN102">
        <v>2</v>
      </c>
      <c r="AO102">
        <v>7</v>
      </c>
      <c r="AP102">
        <v>5</v>
      </c>
      <c r="AQ102">
        <v>5</v>
      </c>
      <c r="AR102">
        <v>5</v>
      </c>
      <c r="AS102">
        <v>6</v>
      </c>
      <c r="AT102">
        <v>7</v>
      </c>
      <c r="AU102">
        <v>5</v>
      </c>
      <c r="AV102">
        <v>6</v>
      </c>
      <c r="AW102">
        <v>4</v>
      </c>
      <c r="AX102">
        <v>5</v>
      </c>
      <c r="AY102">
        <v>6</v>
      </c>
      <c r="AZ102">
        <v>4</v>
      </c>
      <c r="BA102">
        <v>5</v>
      </c>
      <c r="BB102">
        <v>4</v>
      </c>
      <c r="BC102">
        <v>7</v>
      </c>
      <c r="BD102">
        <v>3</v>
      </c>
      <c r="BE102">
        <v>6</v>
      </c>
      <c r="BF102">
        <v>6</v>
      </c>
      <c r="BG102">
        <f t="shared" si="13"/>
        <v>96</v>
      </c>
      <c r="BH102" cm="1">
        <f t="array" ref="BH102">SUMPRODUCT(--($AO102:$BF102 = TRANSPOSE($Y$3:$Y$20)))</f>
        <v>3</v>
      </c>
      <c r="BI102" cm="1">
        <f t="array" ref="BI102">SUMPRODUCT(--($AO102:$BF102 = (TRANSPOSE($Y$3:$Y$20)) - 1))</f>
        <v>1</v>
      </c>
      <c r="BJ102" cm="1">
        <f t="array" ref="BJ102">SUMPRODUCT(--($AO102:$BF102 = (TRANSPOSE($Y$3:$Y$20)) - 2))</f>
        <v>0</v>
      </c>
      <c r="BK102" cm="1">
        <f t="array" ref="BK102">SUMPRODUCT(--($AO102:$BF102 = (TRANSPOSE($Y$3:$Y$20)) + 1))</f>
        <v>4</v>
      </c>
      <c r="BL102" cm="1">
        <f t="array" ref="BL102">SUMPRODUCT(--($AO102:$BF102 = (TRANSPOSE($Y$3:$Y$20)) + 2))</f>
        <v>8</v>
      </c>
      <c r="BM102" cm="1">
        <f t="array" ref="BM102">SUMPRODUCT(--($AO102:$BF102 = (TRANSPOSE($Y$3:$Y$20)) + 3))</f>
        <v>2</v>
      </c>
      <c r="BN102" cm="1">
        <f t="array" ref="BN102">SUMPRODUCT(--($AO102:$BF102 &gt;= (TRANSPOSE($Y$3:$Y$20)) + 4))</f>
        <v>0</v>
      </c>
      <c r="BO102">
        <f t="shared" si="14"/>
        <v>-2</v>
      </c>
      <c r="BW102" s="3" t="s">
        <v>33</v>
      </c>
      <c r="BX102">
        <v>3</v>
      </c>
      <c r="BY102">
        <v>20</v>
      </c>
      <c r="CA102" s="3" t="s">
        <v>33</v>
      </c>
      <c r="CB102">
        <v>3</v>
      </c>
      <c r="CC102">
        <v>20</v>
      </c>
    </row>
    <row r="103" spans="38:81" x14ac:dyDescent="0.25">
      <c r="AL103" t="s">
        <v>50</v>
      </c>
      <c r="AM103">
        <v>25</v>
      </c>
      <c r="AN103">
        <v>1</v>
      </c>
      <c r="AO103">
        <v>6</v>
      </c>
      <c r="AP103">
        <v>6</v>
      </c>
      <c r="AQ103">
        <v>4</v>
      </c>
      <c r="AR103">
        <v>4</v>
      </c>
      <c r="AS103">
        <v>4</v>
      </c>
      <c r="AT103">
        <v>6</v>
      </c>
      <c r="AU103">
        <v>4</v>
      </c>
      <c r="AV103">
        <v>6</v>
      </c>
      <c r="AW103">
        <v>4</v>
      </c>
      <c r="AX103">
        <v>8</v>
      </c>
      <c r="AY103">
        <v>6</v>
      </c>
      <c r="AZ103">
        <v>5</v>
      </c>
      <c r="BA103">
        <v>4</v>
      </c>
      <c r="BB103">
        <v>6</v>
      </c>
      <c r="BC103">
        <v>6</v>
      </c>
      <c r="BD103">
        <v>3</v>
      </c>
      <c r="BE103">
        <v>5</v>
      </c>
      <c r="BF103">
        <v>7</v>
      </c>
      <c r="BG103">
        <f t="shared" si="13"/>
        <v>94</v>
      </c>
      <c r="BH103" cm="1">
        <f t="array" ref="BH103">SUMPRODUCT(--($AO103:$BF103 = TRANSPOSE($Y$3:$Y$20)))</f>
        <v>5</v>
      </c>
      <c r="BI103" cm="1">
        <f t="array" ref="BI103">SUMPRODUCT(--($AO103:$BF103 = (TRANSPOSE($Y$3:$Y$20)) - 1))</f>
        <v>0</v>
      </c>
      <c r="BJ103" cm="1">
        <f t="array" ref="BJ103">SUMPRODUCT(--($AO103:$BF103 = (TRANSPOSE($Y$3:$Y$20)) - 2))</f>
        <v>0</v>
      </c>
      <c r="BK103" cm="1">
        <f t="array" ref="BK103">SUMPRODUCT(--($AO103:$BF103 = (TRANSPOSE($Y$3:$Y$20)) + 1))</f>
        <v>7</v>
      </c>
      <c r="BL103" cm="1">
        <f t="array" ref="BL103">SUMPRODUCT(--($AO103:$BF103 = (TRANSPOSE($Y$3:$Y$20)) + 2))</f>
        <v>3</v>
      </c>
      <c r="BM103" cm="1">
        <f t="array" ref="BM103">SUMPRODUCT(--($AO103:$BF103 = (TRANSPOSE($Y$3:$Y$20)) + 3))</f>
        <v>2</v>
      </c>
      <c r="BN103" cm="1">
        <f t="array" ref="BN103">SUMPRODUCT(--($AO103:$BF103 &gt;= (TRANSPOSE($Y$3:$Y$20)) + 4))</f>
        <v>1</v>
      </c>
      <c r="BO103">
        <f t="shared" si="14"/>
        <v>-2</v>
      </c>
      <c r="BW103" s="3" t="s">
        <v>36</v>
      </c>
      <c r="BX103">
        <v>4</v>
      </c>
      <c r="BY103">
        <v>23</v>
      </c>
      <c r="CA103" s="3" t="s">
        <v>36</v>
      </c>
      <c r="CB103">
        <v>4</v>
      </c>
      <c r="CC103">
        <v>23</v>
      </c>
    </row>
    <row r="104" spans="38:81" x14ac:dyDescent="0.25">
      <c r="AL104" t="s">
        <v>25</v>
      </c>
      <c r="AM104">
        <v>20</v>
      </c>
      <c r="AN104">
        <v>1</v>
      </c>
      <c r="AO104">
        <v>5</v>
      </c>
      <c r="AP104">
        <v>7</v>
      </c>
      <c r="AQ104">
        <v>6</v>
      </c>
      <c r="AR104">
        <v>3</v>
      </c>
      <c r="AS104">
        <v>4</v>
      </c>
      <c r="AT104">
        <v>8</v>
      </c>
      <c r="AU104">
        <v>4</v>
      </c>
      <c r="AV104">
        <v>3</v>
      </c>
      <c r="AW104">
        <v>6</v>
      </c>
      <c r="AX104">
        <v>4</v>
      </c>
      <c r="AY104">
        <v>3</v>
      </c>
      <c r="AZ104">
        <v>4</v>
      </c>
      <c r="BA104">
        <v>6</v>
      </c>
      <c r="BB104">
        <v>6</v>
      </c>
      <c r="BC104">
        <v>5</v>
      </c>
      <c r="BD104">
        <v>4</v>
      </c>
      <c r="BE104">
        <v>6</v>
      </c>
      <c r="BF104">
        <v>5</v>
      </c>
      <c r="BG104">
        <f t="shared" si="13"/>
        <v>89</v>
      </c>
      <c r="BH104" cm="1">
        <f t="array" ref="BH104">SUMPRODUCT(--($AO104:$BF104 = TRANSPOSE($Y$3:$Y$20)))</f>
        <v>6</v>
      </c>
      <c r="BI104" cm="1">
        <f t="array" ref="BI104">SUMPRODUCT(--($AO104:$BF104 = (TRANSPOSE($Y$3:$Y$20)) - 1))</f>
        <v>1</v>
      </c>
      <c r="BJ104" cm="1">
        <f t="array" ref="BJ104">SUMPRODUCT(--($AO104:$BF104 = (TRANSPOSE($Y$3:$Y$20)) - 2))</f>
        <v>0</v>
      </c>
      <c r="BK104" cm="1">
        <f t="array" ref="BK104">SUMPRODUCT(--($AO104:$BF104 = (TRANSPOSE($Y$3:$Y$20)) + 1))</f>
        <v>5</v>
      </c>
      <c r="BL104" cm="1">
        <f t="array" ref="BL104">SUMPRODUCT(--($AO104:$BF104 = (TRANSPOSE($Y$3:$Y$20)) + 2))</f>
        <v>4</v>
      </c>
      <c r="BM104" cm="1">
        <f t="array" ref="BM104">SUMPRODUCT(--($AO104:$BF104 = (TRANSPOSE($Y$3:$Y$20)) + 3))</f>
        <v>2</v>
      </c>
      <c r="BN104" cm="1">
        <f t="array" ref="BN104">SUMPRODUCT(--($AO104:$BF104 &gt;= (TRANSPOSE($Y$3:$Y$20)) + 4))</f>
        <v>0</v>
      </c>
      <c r="BO104">
        <f t="shared" si="14"/>
        <v>-2</v>
      </c>
      <c r="BW104" s="3" t="s">
        <v>50</v>
      </c>
      <c r="BX104">
        <v>-3</v>
      </c>
      <c r="BY104">
        <v>7</v>
      </c>
      <c r="CA104" s="3" t="s">
        <v>50</v>
      </c>
      <c r="CB104">
        <v>-3</v>
      </c>
      <c r="CC104">
        <v>7</v>
      </c>
    </row>
    <row r="105" spans="38:81" x14ac:dyDescent="0.25">
      <c r="AL105" t="s">
        <v>22</v>
      </c>
      <c r="AM105">
        <v>18</v>
      </c>
      <c r="AN105">
        <v>1</v>
      </c>
      <c r="AO105">
        <v>5</v>
      </c>
      <c r="AP105">
        <v>4</v>
      </c>
      <c r="AQ105">
        <v>5</v>
      </c>
      <c r="AR105">
        <v>4</v>
      </c>
      <c r="AS105">
        <v>5</v>
      </c>
      <c r="AT105">
        <v>7</v>
      </c>
      <c r="AU105">
        <v>4</v>
      </c>
      <c r="AV105">
        <v>5</v>
      </c>
      <c r="AW105">
        <v>6</v>
      </c>
      <c r="AX105">
        <v>4</v>
      </c>
      <c r="AY105">
        <v>4</v>
      </c>
      <c r="AZ105">
        <v>4</v>
      </c>
      <c r="BA105">
        <v>4</v>
      </c>
      <c r="BB105">
        <v>7</v>
      </c>
      <c r="BC105">
        <v>5</v>
      </c>
      <c r="BD105">
        <v>4</v>
      </c>
      <c r="BE105">
        <v>4</v>
      </c>
      <c r="BF105">
        <v>6</v>
      </c>
      <c r="BG105">
        <f t="shared" si="13"/>
        <v>87</v>
      </c>
      <c r="BH105" cm="1">
        <f t="array" ref="BH105">SUMPRODUCT(--($AO105:$BF105 = TRANSPOSE($Y$3:$Y$20)))</f>
        <v>6</v>
      </c>
      <c r="BI105" cm="1">
        <f t="array" ref="BI105">SUMPRODUCT(--($AO105:$BF105 = (TRANSPOSE($Y$3:$Y$20)) - 1))</f>
        <v>0</v>
      </c>
      <c r="BJ105" cm="1">
        <f t="array" ref="BJ105">SUMPRODUCT(--($AO105:$BF105 = (TRANSPOSE($Y$3:$Y$20)) - 2))</f>
        <v>0</v>
      </c>
      <c r="BK105" cm="1">
        <f t="array" ref="BK105">SUMPRODUCT(--($AO105:$BF105 = (TRANSPOSE($Y$3:$Y$20)) + 1))</f>
        <v>8</v>
      </c>
      <c r="BL105" cm="1">
        <f t="array" ref="BL105">SUMPRODUCT(--($AO105:$BF105 = (TRANSPOSE($Y$3:$Y$20)) + 2))</f>
        <v>4</v>
      </c>
      <c r="BM105" cm="1">
        <f t="array" ref="BM105">SUMPRODUCT(--($AO105:$BF105 = (TRANSPOSE($Y$3:$Y$20)) + 3))</f>
        <v>0</v>
      </c>
      <c r="BN105" cm="1">
        <f t="array" ref="BN105">SUMPRODUCT(--($AO105:$BF105 &gt;= (TRANSPOSE($Y$3:$Y$20)) + 4))</f>
        <v>0</v>
      </c>
      <c r="BO105">
        <f t="shared" si="14"/>
        <v>-2</v>
      </c>
      <c r="BW105" s="3" t="s">
        <v>35</v>
      </c>
      <c r="BX105">
        <v>4</v>
      </c>
      <c r="BY105">
        <v>23</v>
      </c>
      <c r="CA105" s="3" t="s">
        <v>35</v>
      </c>
      <c r="CB105">
        <v>4</v>
      </c>
      <c r="CC105">
        <v>23</v>
      </c>
    </row>
    <row r="106" spans="38:81" x14ac:dyDescent="0.25">
      <c r="AL106" t="s">
        <v>28</v>
      </c>
      <c r="AM106">
        <v>18</v>
      </c>
      <c r="AN106">
        <v>2</v>
      </c>
      <c r="AO106">
        <v>6</v>
      </c>
      <c r="AP106">
        <v>5</v>
      </c>
      <c r="AQ106">
        <v>4</v>
      </c>
      <c r="AR106">
        <v>4</v>
      </c>
      <c r="AS106">
        <v>6</v>
      </c>
      <c r="AT106">
        <v>5</v>
      </c>
      <c r="AU106">
        <v>5</v>
      </c>
      <c r="AV106">
        <v>4</v>
      </c>
      <c r="AW106">
        <v>5</v>
      </c>
      <c r="AX106">
        <v>4</v>
      </c>
      <c r="AY106">
        <v>4</v>
      </c>
      <c r="AZ106">
        <v>5</v>
      </c>
      <c r="BA106">
        <v>4</v>
      </c>
      <c r="BB106">
        <v>6</v>
      </c>
      <c r="BC106">
        <v>5</v>
      </c>
      <c r="BD106">
        <v>4</v>
      </c>
      <c r="BE106">
        <v>4</v>
      </c>
      <c r="BF106">
        <v>7</v>
      </c>
      <c r="BG106">
        <f t="shared" si="13"/>
        <v>87</v>
      </c>
      <c r="BH106" cm="1">
        <f t="array" ref="BH106">SUMPRODUCT(--($AO106:$BF106 = TRANSPOSE($Y$3:$Y$20)))</f>
        <v>6</v>
      </c>
      <c r="BI106" cm="1">
        <f t="array" ref="BI106">SUMPRODUCT(--($AO106:$BF106 = (TRANSPOSE($Y$3:$Y$20)) - 1))</f>
        <v>0</v>
      </c>
      <c r="BJ106" cm="1">
        <f t="array" ref="BJ106">SUMPRODUCT(--($AO106:$BF106 = (TRANSPOSE($Y$3:$Y$20)) - 2))</f>
        <v>0</v>
      </c>
      <c r="BK106" cm="1">
        <f t="array" ref="BK106">SUMPRODUCT(--($AO106:$BF106 = (TRANSPOSE($Y$3:$Y$20)) + 1))</f>
        <v>9</v>
      </c>
      <c r="BL106" cm="1">
        <f t="array" ref="BL106">SUMPRODUCT(--($AO106:$BF106 = (TRANSPOSE($Y$3:$Y$20)) + 2))</f>
        <v>2</v>
      </c>
      <c r="BM106" cm="1">
        <f t="array" ref="BM106">SUMPRODUCT(--($AO106:$BF106 = (TRANSPOSE($Y$3:$Y$20)) + 3))</f>
        <v>1</v>
      </c>
      <c r="BN106" cm="1">
        <f t="array" ref="BN106">SUMPRODUCT(--($AO106:$BF106 &gt;= (TRANSPOSE($Y$3:$Y$20)) + 4))</f>
        <v>0</v>
      </c>
      <c r="BO106">
        <f t="shared" si="14"/>
        <v>-2</v>
      </c>
      <c r="BS106" s="2" t="s">
        <v>87</v>
      </c>
      <c r="BW106" s="3" t="s">
        <v>30</v>
      </c>
      <c r="BX106">
        <v>-5</v>
      </c>
      <c r="BY106">
        <v>3</v>
      </c>
      <c r="CA106" s="3" t="s">
        <v>30</v>
      </c>
      <c r="CB106">
        <v>-5</v>
      </c>
      <c r="CC106">
        <v>3</v>
      </c>
    </row>
    <row r="107" spans="38:81" x14ac:dyDescent="0.25">
      <c r="AL107" t="s">
        <v>31</v>
      </c>
      <c r="AM107">
        <v>18</v>
      </c>
      <c r="AN107">
        <v>2</v>
      </c>
      <c r="AO107">
        <v>6</v>
      </c>
      <c r="AP107">
        <v>5</v>
      </c>
      <c r="AQ107">
        <v>4</v>
      </c>
      <c r="AR107">
        <v>3</v>
      </c>
      <c r="AS107">
        <v>3</v>
      </c>
      <c r="AT107">
        <v>5</v>
      </c>
      <c r="AU107">
        <v>5</v>
      </c>
      <c r="AV107">
        <v>6</v>
      </c>
      <c r="AW107">
        <v>5</v>
      </c>
      <c r="AX107">
        <v>6</v>
      </c>
      <c r="AY107">
        <v>5</v>
      </c>
      <c r="AZ107">
        <v>4</v>
      </c>
      <c r="BA107">
        <v>5</v>
      </c>
      <c r="BB107">
        <v>6</v>
      </c>
      <c r="BC107">
        <v>5</v>
      </c>
      <c r="BD107">
        <v>4</v>
      </c>
      <c r="BE107">
        <v>5</v>
      </c>
      <c r="BF107">
        <v>5</v>
      </c>
      <c r="BG107">
        <f t="shared" si="13"/>
        <v>87</v>
      </c>
      <c r="BH107" cm="1">
        <f t="array" ref="BH107">SUMPRODUCT(--($AO107:$BF107 = TRANSPOSE($Y$3:$Y$20)))</f>
        <v>4</v>
      </c>
      <c r="BI107" cm="1">
        <f t="array" ref="BI107">SUMPRODUCT(--($AO107:$BF107 = (TRANSPOSE($Y$3:$Y$20)) - 1))</f>
        <v>1</v>
      </c>
      <c r="BJ107" cm="1">
        <f t="array" ref="BJ107">SUMPRODUCT(--($AO107:$BF107 = (TRANSPOSE($Y$3:$Y$20)) - 2))</f>
        <v>0</v>
      </c>
      <c r="BK107" cm="1">
        <f t="array" ref="BK107">SUMPRODUCT(--($AO107:$BF107 = (TRANSPOSE($Y$3:$Y$20)) + 1))</f>
        <v>9</v>
      </c>
      <c r="BL107" cm="1">
        <f t="array" ref="BL107">SUMPRODUCT(--($AO107:$BF107 = (TRANSPOSE($Y$3:$Y$20)) + 2))</f>
        <v>4</v>
      </c>
      <c r="BM107" cm="1">
        <f t="array" ref="BM107">SUMPRODUCT(--($AO107:$BF107 = (TRANSPOSE($Y$3:$Y$20)) + 3))</f>
        <v>0</v>
      </c>
      <c r="BN107" cm="1">
        <f t="array" ref="BN107">SUMPRODUCT(--($AO107:$BF107 &gt;= (TRANSPOSE($Y$3:$Y$20)) + 4))</f>
        <v>0</v>
      </c>
      <c r="BO107">
        <f t="shared" si="14"/>
        <v>-2</v>
      </c>
      <c r="BS107" s="3" t="s">
        <v>22</v>
      </c>
      <c r="BW107" s="3" t="s">
        <v>31</v>
      </c>
      <c r="BX107">
        <v>1</v>
      </c>
      <c r="BY107">
        <v>17</v>
      </c>
      <c r="CA107" s="3" t="s">
        <v>31</v>
      </c>
      <c r="CB107">
        <v>1</v>
      </c>
      <c r="CC107">
        <v>17</v>
      </c>
    </row>
    <row r="108" spans="38:81" x14ac:dyDescent="0.25">
      <c r="AL108" t="s">
        <v>39</v>
      </c>
      <c r="AM108">
        <v>16</v>
      </c>
      <c r="AN108">
        <f>1</f>
        <v>1</v>
      </c>
      <c r="AO108">
        <v>6</v>
      </c>
      <c r="AP108">
        <v>5</v>
      </c>
      <c r="AQ108">
        <v>4</v>
      </c>
      <c r="AR108">
        <v>4</v>
      </c>
      <c r="AS108">
        <v>4</v>
      </c>
      <c r="AT108">
        <v>5</v>
      </c>
      <c r="AU108">
        <v>6</v>
      </c>
      <c r="AV108">
        <v>4</v>
      </c>
      <c r="AW108">
        <v>6</v>
      </c>
      <c r="AX108">
        <v>6</v>
      </c>
      <c r="AY108">
        <v>4</v>
      </c>
      <c r="AZ108">
        <v>3</v>
      </c>
      <c r="BA108">
        <v>4</v>
      </c>
      <c r="BB108">
        <v>5</v>
      </c>
      <c r="BC108">
        <v>4</v>
      </c>
      <c r="BD108">
        <v>2</v>
      </c>
      <c r="BE108">
        <v>5</v>
      </c>
      <c r="BF108">
        <v>8</v>
      </c>
      <c r="BG108">
        <f t="shared" si="13"/>
        <v>85</v>
      </c>
      <c r="BH108" cm="1">
        <f t="array" ref="BH108">SUMPRODUCT(--($AO108:$BF108 = TRANSPOSE($Y$3:$Y$20)))</f>
        <v>7</v>
      </c>
      <c r="BI108" cm="1">
        <f t="array" ref="BI108">SUMPRODUCT(--($AO108:$BF108 = (TRANSPOSE($Y$3:$Y$20)) - 1))</f>
        <v>2</v>
      </c>
      <c r="BJ108" cm="1">
        <f t="array" ref="BJ108">SUMPRODUCT(--($AO108:$BF108 = (TRANSPOSE($Y$3:$Y$20)) - 2))</f>
        <v>0</v>
      </c>
      <c r="BK108" cm="1">
        <f t="array" ref="BK108">SUMPRODUCT(--($AO108:$BF108 = (TRANSPOSE($Y$3:$Y$20)) + 1))</f>
        <v>5</v>
      </c>
      <c r="BL108" cm="1">
        <f t="array" ref="BL108">SUMPRODUCT(--($AO108:$BF108 = (TRANSPOSE($Y$3:$Y$20)) + 2))</f>
        <v>2</v>
      </c>
      <c r="BM108" cm="1">
        <f t="array" ref="BM108">SUMPRODUCT(--($AO108:$BF108 = (TRANSPOSE($Y$3:$Y$20)) + 3))</f>
        <v>1</v>
      </c>
      <c r="BN108" cm="1">
        <f t="array" ref="BN108">SUMPRODUCT(--($AO108:$BF108 &gt;= (TRANSPOSE($Y$3:$Y$20)) + 4))</f>
        <v>1</v>
      </c>
      <c r="BO108">
        <f t="shared" si="14"/>
        <v>-2</v>
      </c>
      <c r="BS108" s="3" t="s">
        <v>25</v>
      </c>
      <c r="BW108" s="3" t="s">
        <v>42</v>
      </c>
      <c r="BX108">
        <v>2</v>
      </c>
      <c r="BY108">
        <v>18</v>
      </c>
      <c r="CA108" s="3" t="s">
        <v>42</v>
      </c>
      <c r="CB108">
        <v>2</v>
      </c>
      <c r="CC108">
        <v>18</v>
      </c>
    </row>
    <row r="109" spans="38:81" x14ac:dyDescent="0.25">
      <c r="AL109" t="s">
        <v>44</v>
      </c>
      <c r="AM109">
        <v>30</v>
      </c>
      <c r="AN109">
        <v>2</v>
      </c>
      <c r="AO109">
        <v>6</v>
      </c>
      <c r="AP109">
        <v>7</v>
      </c>
      <c r="AQ109">
        <v>6</v>
      </c>
      <c r="AR109">
        <v>5</v>
      </c>
      <c r="AS109">
        <v>6</v>
      </c>
      <c r="AT109">
        <v>5</v>
      </c>
      <c r="AU109">
        <v>4</v>
      </c>
      <c r="AV109">
        <v>5</v>
      </c>
      <c r="AW109">
        <v>6</v>
      </c>
      <c r="AX109">
        <v>6</v>
      </c>
      <c r="AY109">
        <v>4</v>
      </c>
      <c r="AZ109">
        <v>5</v>
      </c>
      <c r="BA109">
        <v>5</v>
      </c>
      <c r="BB109">
        <v>7</v>
      </c>
      <c r="BC109">
        <v>5</v>
      </c>
      <c r="BD109">
        <v>3</v>
      </c>
      <c r="BE109">
        <v>7</v>
      </c>
      <c r="BF109">
        <v>6</v>
      </c>
      <c r="BG109">
        <f t="shared" si="13"/>
        <v>98</v>
      </c>
      <c r="BH109" cm="1">
        <f t="array" ref="BH109">SUMPRODUCT(--($AO109:$BF109 = TRANSPOSE($Y$3:$Y$20)))</f>
        <v>2</v>
      </c>
      <c r="BI109" cm="1">
        <f t="array" ref="BI109">SUMPRODUCT(--($AO109:$BF109 = (TRANSPOSE($Y$3:$Y$20)) - 1))</f>
        <v>0</v>
      </c>
      <c r="BJ109" cm="1">
        <f t="array" ref="BJ109">SUMPRODUCT(--($AO109:$BF109 = (TRANSPOSE($Y$3:$Y$20)) - 2))</f>
        <v>0</v>
      </c>
      <c r="BK109" cm="1">
        <f t="array" ref="BK109">SUMPRODUCT(--($AO109:$BF109 = (TRANSPOSE($Y$3:$Y$20)) + 1))</f>
        <v>7</v>
      </c>
      <c r="BL109" cm="1">
        <f t="array" ref="BL109">SUMPRODUCT(--($AO109:$BF109 = (TRANSPOSE($Y$3:$Y$20)) + 2))</f>
        <v>7</v>
      </c>
      <c r="BM109" cm="1">
        <f t="array" ref="BM109">SUMPRODUCT(--($AO109:$BF109 = (TRANSPOSE($Y$3:$Y$20)) + 3))</f>
        <v>2</v>
      </c>
      <c r="BN109" cm="1">
        <f t="array" ref="BN109">SUMPRODUCT(--($AO109:$BF109 &gt;= (TRANSPOSE($Y$3:$Y$20)) + 4))</f>
        <v>0</v>
      </c>
      <c r="BO109">
        <f t="shared" si="14"/>
        <v>-3</v>
      </c>
      <c r="BS109" s="3" t="s">
        <v>43</v>
      </c>
      <c r="BW109" s="3" t="s">
        <v>40</v>
      </c>
      <c r="BX109">
        <v>-4</v>
      </c>
      <c r="BY109">
        <v>4</v>
      </c>
      <c r="CA109" s="3" t="s">
        <v>40</v>
      </c>
      <c r="CB109">
        <v>-4</v>
      </c>
      <c r="CC109">
        <v>4</v>
      </c>
    </row>
    <row r="110" spans="38:81" x14ac:dyDescent="0.25">
      <c r="AL110" t="s">
        <v>30</v>
      </c>
      <c r="AM110">
        <v>27</v>
      </c>
      <c r="AN110">
        <v>1</v>
      </c>
      <c r="AO110">
        <v>10</v>
      </c>
      <c r="AP110">
        <v>5</v>
      </c>
      <c r="AQ110">
        <v>5</v>
      </c>
      <c r="AR110">
        <v>5</v>
      </c>
      <c r="AS110">
        <v>5</v>
      </c>
      <c r="AT110">
        <v>4</v>
      </c>
      <c r="AU110">
        <v>5</v>
      </c>
      <c r="AV110">
        <v>3</v>
      </c>
      <c r="AW110">
        <v>5</v>
      </c>
      <c r="AX110">
        <v>4</v>
      </c>
      <c r="AY110">
        <v>4</v>
      </c>
      <c r="AZ110">
        <v>8</v>
      </c>
      <c r="BA110">
        <v>5</v>
      </c>
      <c r="BB110">
        <v>7</v>
      </c>
      <c r="BC110">
        <v>5</v>
      </c>
      <c r="BD110">
        <v>3</v>
      </c>
      <c r="BE110">
        <v>5</v>
      </c>
      <c r="BF110">
        <v>7</v>
      </c>
      <c r="BG110">
        <f t="shared" si="13"/>
        <v>95</v>
      </c>
      <c r="BH110" cm="1">
        <f t="array" ref="BH110">SUMPRODUCT(--($AO110:$BF110 = TRANSPOSE($Y$3:$Y$20)))</f>
        <v>2</v>
      </c>
      <c r="BI110" cm="1">
        <f t="array" ref="BI110">SUMPRODUCT(--($AO110:$BF110 = (TRANSPOSE($Y$3:$Y$20)) - 1))</f>
        <v>2</v>
      </c>
      <c r="BJ110" cm="1">
        <f t="array" ref="BJ110">SUMPRODUCT(--($AO110:$BF110 = (TRANSPOSE($Y$3:$Y$20)) - 2))</f>
        <v>0</v>
      </c>
      <c r="BK110" cm="1">
        <f t="array" ref="BK110">SUMPRODUCT(--($AO110:$BF110 = (TRANSPOSE($Y$3:$Y$20)) + 1))</f>
        <v>8</v>
      </c>
      <c r="BL110" cm="1">
        <f t="array" ref="BL110">SUMPRODUCT(--($AO110:$BF110 = (TRANSPOSE($Y$3:$Y$20)) + 2))</f>
        <v>3</v>
      </c>
      <c r="BM110" cm="1">
        <f t="array" ref="BM110">SUMPRODUCT(--($AO110:$BF110 = (TRANSPOSE($Y$3:$Y$20)) + 3))</f>
        <v>1</v>
      </c>
      <c r="BN110" cm="1">
        <f t="array" ref="BN110">SUMPRODUCT(--($AO110:$BF110 &gt;= (TRANSPOSE($Y$3:$Y$20)) + 4))</f>
        <v>2</v>
      </c>
      <c r="BO110">
        <f t="shared" si="14"/>
        <v>-3</v>
      </c>
      <c r="BS110" s="3" t="s">
        <v>46</v>
      </c>
      <c r="BW110" s="3" t="s">
        <v>23</v>
      </c>
      <c r="BX110">
        <v>8</v>
      </c>
      <c r="BY110">
        <v>26</v>
      </c>
      <c r="CA110" s="3" t="s">
        <v>23</v>
      </c>
      <c r="CB110">
        <v>8</v>
      </c>
      <c r="CC110">
        <v>26</v>
      </c>
    </row>
    <row r="111" spans="38:81" x14ac:dyDescent="0.25">
      <c r="AL111" t="s">
        <v>37</v>
      </c>
      <c r="AM111">
        <v>18</v>
      </c>
      <c r="AN111">
        <v>1</v>
      </c>
      <c r="AO111">
        <v>7</v>
      </c>
      <c r="AP111">
        <v>5</v>
      </c>
      <c r="AQ111">
        <v>5</v>
      </c>
      <c r="AR111">
        <v>3</v>
      </c>
      <c r="AS111">
        <v>4</v>
      </c>
      <c r="AT111">
        <v>5</v>
      </c>
      <c r="AU111">
        <v>4</v>
      </c>
      <c r="AV111">
        <v>5</v>
      </c>
      <c r="AW111">
        <v>5</v>
      </c>
      <c r="AX111">
        <v>5</v>
      </c>
      <c r="AY111">
        <v>3</v>
      </c>
      <c r="AZ111">
        <v>5</v>
      </c>
      <c r="BA111">
        <v>5</v>
      </c>
      <c r="BB111">
        <v>6</v>
      </c>
      <c r="BC111">
        <v>6</v>
      </c>
      <c r="BD111">
        <v>4</v>
      </c>
      <c r="BE111">
        <v>4</v>
      </c>
      <c r="BF111">
        <v>5</v>
      </c>
      <c r="BG111">
        <f t="shared" si="13"/>
        <v>86</v>
      </c>
      <c r="BH111" cm="1">
        <f t="array" ref="BH111">SUMPRODUCT(--($AO111:$BF111 = TRANSPOSE($Y$3:$Y$20)))</f>
        <v>5</v>
      </c>
      <c r="BI111" cm="1">
        <f t="array" ref="BI111">SUMPRODUCT(--($AO111:$BF111 = (TRANSPOSE($Y$3:$Y$20)) - 1))</f>
        <v>0</v>
      </c>
      <c r="BJ111" cm="1">
        <f t="array" ref="BJ111">SUMPRODUCT(--($AO111:$BF111 = (TRANSPOSE($Y$3:$Y$20)) - 2))</f>
        <v>0</v>
      </c>
      <c r="BK111" cm="1">
        <f t="array" ref="BK111">SUMPRODUCT(--($AO111:$BF111 = (TRANSPOSE($Y$3:$Y$20)) + 1))</f>
        <v>11</v>
      </c>
      <c r="BL111" cm="1">
        <f t="array" ref="BL111">SUMPRODUCT(--($AO111:$BF111 = (TRANSPOSE($Y$3:$Y$20)) + 2))</f>
        <v>2</v>
      </c>
      <c r="BM111" cm="1">
        <f t="array" ref="BM111">SUMPRODUCT(--($AO111:$BF111 = (TRANSPOSE($Y$3:$Y$20)) + 3))</f>
        <v>0</v>
      </c>
      <c r="BN111" cm="1">
        <f t="array" ref="BN111">SUMPRODUCT(--($AO111:$BF111 &gt;= (TRANSPOSE($Y$3:$Y$20)) + 4))</f>
        <v>0</v>
      </c>
      <c r="BO111">
        <f t="shared" si="14"/>
        <v>-3</v>
      </c>
      <c r="BS111" s="3" t="s">
        <v>29</v>
      </c>
      <c r="BW111" s="3" t="s">
        <v>24</v>
      </c>
      <c r="BX111">
        <v>-4</v>
      </c>
      <c r="BY111">
        <v>4</v>
      </c>
      <c r="CA111" s="3" t="s">
        <v>24</v>
      </c>
      <c r="CB111">
        <v>-4</v>
      </c>
      <c r="CC111">
        <v>4</v>
      </c>
    </row>
    <row r="112" spans="38:81" x14ac:dyDescent="0.25">
      <c r="AL112" t="s">
        <v>51</v>
      </c>
      <c r="AM112">
        <v>15</v>
      </c>
      <c r="AN112">
        <v>2</v>
      </c>
      <c r="AO112">
        <v>5</v>
      </c>
      <c r="AP112">
        <v>4</v>
      </c>
      <c r="AQ112">
        <v>4</v>
      </c>
      <c r="AR112">
        <v>6</v>
      </c>
      <c r="AS112">
        <v>6</v>
      </c>
      <c r="AT112">
        <v>5</v>
      </c>
      <c r="AU112">
        <v>3</v>
      </c>
      <c r="AV112">
        <v>4</v>
      </c>
      <c r="AW112">
        <v>5</v>
      </c>
      <c r="AX112">
        <v>7</v>
      </c>
      <c r="AY112">
        <v>3</v>
      </c>
      <c r="AZ112">
        <v>4</v>
      </c>
      <c r="BA112">
        <v>5</v>
      </c>
      <c r="BB112">
        <v>5</v>
      </c>
      <c r="BC112">
        <v>5</v>
      </c>
      <c r="BD112">
        <v>3</v>
      </c>
      <c r="BE112">
        <v>4</v>
      </c>
      <c r="BF112">
        <v>5</v>
      </c>
      <c r="BG112">
        <f t="shared" si="13"/>
        <v>83</v>
      </c>
      <c r="BH112" cm="1">
        <f t="array" ref="BH112">SUMPRODUCT(--($AO112:$BF112 = TRANSPOSE($Y$3:$Y$20)))</f>
        <v>11</v>
      </c>
      <c r="BI112" cm="1">
        <f t="array" ref="BI112">SUMPRODUCT(--($AO112:$BF112 = (TRANSPOSE($Y$3:$Y$20)) - 1))</f>
        <v>0</v>
      </c>
      <c r="BJ112" cm="1">
        <f t="array" ref="BJ112">SUMPRODUCT(--($AO112:$BF112 = (TRANSPOSE($Y$3:$Y$20)) - 2))</f>
        <v>0</v>
      </c>
      <c r="BK112" cm="1">
        <f t="array" ref="BK112">SUMPRODUCT(--($AO112:$BF112 = (TRANSPOSE($Y$3:$Y$20)) + 1))</f>
        <v>4</v>
      </c>
      <c r="BL112" cm="1">
        <f t="array" ref="BL112">SUMPRODUCT(--($AO112:$BF112 = (TRANSPOSE($Y$3:$Y$20)) + 2))</f>
        <v>1</v>
      </c>
      <c r="BM112" cm="1">
        <f t="array" ref="BM112">SUMPRODUCT(--($AO112:$BF112 = (TRANSPOSE($Y$3:$Y$20)) + 3))</f>
        <v>2</v>
      </c>
      <c r="BN112" cm="1">
        <f t="array" ref="BN112">SUMPRODUCT(--($AO112:$BF112 &gt;= (TRANSPOSE($Y$3:$Y$20)) + 4))</f>
        <v>0</v>
      </c>
      <c r="BO112">
        <f t="shared" si="14"/>
        <v>-3</v>
      </c>
      <c r="BS112" s="3" t="s">
        <v>27</v>
      </c>
      <c r="BW112" s="3" t="s">
        <v>51</v>
      </c>
      <c r="BX112">
        <v>-1</v>
      </c>
      <c r="BY112">
        <v>12</v>
      </c>
      <c r="CA112" s="3" t="s">
        <v>51</v>
      </c>
      <c r="CB112">
        <v>-1</v>
      </c>
      <c r="CC112">
        <v>12</v>
      </c>
    </row>
    <row r="113" spans="38:81" x14ac:dyDescent="0.25">
      <c r="AL113" t="s">
        <v>49</v>
      </c>
      <c r="AM113">
        <v>14</v>
      </c>
      <c r="AN113">
        <v>1</v>
      </c>
      <c r="AO113">
        <v>6</v>
      </c>
      <c r="AP113">
        <v>4</v>
      </c>
      <c r="AQ113">
        <v>4</v>
      </c>
      <c r="AR113">
        <v>4</v>
      </c>
      <c r="AS113">
        <v>5</v>
      </c>
      <c r="AT113">
        <v>5</v>
      </c>
      <c r="AU113">
        <v>4</v>
      </c>
      <c r="AV113">
        <v>4</v>
      </c>
      <c r="AW113">
        <v>6</v>
      </c>
      <c r="AX113">
        <v>5</v>
      </c>
      <c r="AY113">
        <v>4</v>
      </c>
      <c r="AZ113">
        <v>4</v>
      </c>
      <c r="BA113">
        <v>5</v>
      </c>
      <c r="BB113">
        <v>5</v>
      </c>
      <c r="BC113">
        <v>5</v>
      </c>
      <c r="BD113">
        <v>3</v>
      </c>
      <c r="BE113">
        <v>4</v>
      </c>
      <c r="BF113">
        <v>5</v>
      </c>
      <c r="BG113">
        <f t="shared" si="13"/>
        <v>82</v>
      </c>
      <c r="BH113" cm="1">
        <f t="array" ref="BH113">SUMPRODUCT(--($AO113:$BF113 = TRANSPOSE($Y$3:$Y$20)))</f>
        <v>8</v>
      </c>
      <c r="BI113" cm="1">
        <f t="array" ref="BI113">SUMPRODUCT(--($AO113:$BF113 = (TRANSPOSE($Y$3:$Y$20)) - 1))</f>
        <v>0</v>
      </c>
      <c r="BJ113" cm="1">
        <f t="array" ref="BJ113">SUMPRODUCT(--($AO113:$BF113 = (TRANSPOSE($Y$3:$Y$20)) - 2))</f>
        <v>0</v>
      </c>
      <c r="BK113" cm="1">
        <f t="array" ref="BK113">SUMPRODUCT(--($AO113:$BF113 = (TRANSPOSE($Y$3:$Y$20)) + 1))</f>
        <v>9</v>
      </c>
      <c r="BL113" cm="1">
        <f t="array" ref="BL113">SUMPRODUCT(--($AO113:$BF113 = (TRANSPOSE($Y$3:$Y$20)) + 2))</f>
        <v>1</v>
      </c>
      <c r="BM113" cm="1">
        <f t="array" ref="BM113">SUMPRODUCT(--($AO113:$BF113 = (TRANSPOSE($Y$3:$Y$20)) + 3))</f>
        <v>0</v>
      </c>
      <c r="BN113" cm="1">
        <f t="array" ref="BN113">SUMPRODUCT(--($AO113:$BF113 &gt;= (TRANSPOSE($Y$3:$Y$20)) + 4))</f>
        <v>0</v>
      </c>
      <c r="BO113">
        <f t="shared" si="14"/>
        <v>-3</v>
      </c>
      <c r="BS113" s="3" t="s">
        <v>32</v>
      </c>
      <c r="BW113" s="3" t="s">
        <v>26</v>
      </c>
      <c r="BX113">
        <v>0</v>
      </c>
      <c r="BY113">
        <v>14</v>
      </c>
      <c r="CA113" s="3" t="s">
        <v>26</v>
      </c>
      <c r="CB113">
        <v>0</v>
      </c>
      <c r="CC113">
        <v>14</v>
      </c>
    </row>
    <row r="114" spans="38:81" x14ac:dyDescent="0.25">
      <c r="AL114" t="s">
        <v>41</v>
      </c>
      <c r="AM114">
        <v>14</v>
      </c>
      <c r="AN114">
        <v>2</v>
      </c>
      <c r="AO114">
        <v>6</v>
      </c>
      <c r="AP114">
        <v>5</v>
      </c>
      <c r="AQ114">
        <v>5</v>
      </c>
      <c r="AR114">
        <v>3</v>
      </c>
      <c r="AS114">
        <v>5</v>
      </c>
      <c r="AT114">
        <v>7</v>
      </c>
      <c r="AU114">
        <v>5</v>
      </c>
      <c r="AV114">
        <v>4</v>
      </c>
      <c r="AW114">
        <v>4</v>
      </c>
      <c r="AX114">
        <v>4</v>
      </c>
      <c r="AY114">
        <v>4</v>
      </c>
      <c r="AZ114">
        <v>4</v>
      </c>
      <c r="BA114">
        <v>6</v>
      </c>
      <c r="BB114">
        <v>5</v>
      </c>
      <c r="BC114">
        <v>3</v>
      </c>
      <c r="BD114">
        <v>3</v>
      </c>
      <c r="BE114">
        <v>4</v>
      </c>
      <c r="BF114">
        <v>5</v>
      </c>
      <c r="BG114">
        <f t="shared" si="13"/>
        <v>82</v>
      </c>
      <c r="BH114" cm="1">
        <f t="array" ref="BH114">SUMPRODUCT(--($AO114:$BF114 = TRANSPOSE($Y$3:$Y$20)))</f>
        <v>8</v>
      </c>
      <c r="BI114" cm="1">
        <f t="array" ref="BI114">SUMPRODUCT(--($AO114:$BF114 = (TRANSPOSE($Y$3:$Y$20)) - 1))</f>
        <v>1</v>
      </c>
      <c r="BJ114" cm="1">
        <f t="array" ref="BJ114">SUMPRODUCT(--($AO114:$BF114 = (TRANSPOSE($Y$3:$Y$20)) - 2))</f>
        <v>0</v>
      </c>
      <c r="BK114" cm="1">
        <f t="array" ref="BK114">SUMPRODUCT(--($AO114:$BF114 = (TRANSPOSE($Y$3:$Y$20)) + 1))</f>
        <v>6</v>
      </c>
      <c r="BL114" cm="1">
        <f t="array" ref="BL114">SUMPRODUCT(--($AO114:$BF114 = (TRANSPOSE($Y$3:$Y$20)) + 2))</f>
        <v>3</v>
      </c>
      <c r="BM114" cm="1">
        <f t="array" ref="BM114">SUMPRODUCT(--($AO114:$BF114 = (TRANSPOSE($Y$3:$Y$20)) + 3))</f>
        <v>0</v>
      </c>
      <c r="BN114" cm="1">
        <f t="array" ref="BN114">SUMPRODUCT(--($AO114:$BF114 &gt;= (TRANSPOSE($Y$3:$Y$20)) + 4))</f>
        <v>0</v>
      </c>
      <c r="BO114">
        <f t="shared" si="14"/>
        <v>-3</v>
      </c>
      <c r="BS114" s="3" t="s">
        <v>53</v>
      </c>
      <c r="BW114" s="3" t="s">
        <v>45</v>
      </c>
      <c r="BX114">
        <v>15</v>
      </c>
      <c r="BY114">
        <v>29</v>
      </c>
      <c r="CA114" s="3" t="s">
        <v>45</v>
      </c>
      <c r="CB114">
        <v>15</v>
      </c>
      <c r="CC114">
        <v>29</v>
      </c>
    </row>
    <row r="115" spans="38:81" x14ac:dyDescent="0.25">
      <c r="AL115" t="s">
        <v>40</v>
      </c>
      <c r="AM115">
        <v>7</v>
      </c>
      <c r="AN115">
        <v>2</v>
      </c>
      <c r="AO115">
        <v>5</v>
      </c>
      <c r="AP115">
        <v>6</v>
      </c>
      <c r="AQ115">
        <v>4</v>
      </c>
      <c r="AR115">
        <v>3</v>
      </c>
      <c r="AS115">
        <v>4</v>
      </c>
      <c r="AT115">
        <v>4</v>
      </c>
      <c r="AU115">
        <v>4</v>
      </c>
      <c r="AV115">
        <v>4</v>
      </c>
      <c r="AW115">
        <v>5</v>
      </c>
      <c r="AX115">
        <v>4</v>
      </c>
      <c r="AY115">
        <v>3</v>
      </c>
      <c r="AZ115">
        <v>4</v>
      </c>
      <c r="BA115">
        <v>4</v>
      </c>
      <c r="BB115">
        <v>6</v>
      </c>
      <c r="BC115">
        <v>3</v>
      </c>
      <c r="BD115">
        <v>3</v>
      </c>
      <c r="BE115">
        <v>4</v>
      </c>
      <c r="BF115">
        <v>5</v>
      </c>
      <c r="BG115">
        <f t="shared" si="13"/>
        <v>75</v>
      </c>
      <c r="BH115" cm="1">
        <f t="array" ref="BH115">SUMPRODUCT(--($AO115:$BF115 = TRANSPOSE($Y$3:$Y$20)))</f>
        <v>11</v>
      </c>
      <c r="BI115" cm="1">
        <f t="array" ref="BI115">SUMPRODUCT(--($AO115:$BF115 = (TRANSPOSE($Y$3:$Y$20)) - 1))</f>
        <v>2</v>
      </c>
      <c r="BJ115" cm="1">
        <f t="array" ref="BJ115">SUMPRODUCT(--($AO115:$BF115 = (TRANSPOSE($Y$3:$Y$20)) - 2))</f>
        <v>0</v>
      </c>
      <c r="BK115" cm="1">
        <f t="array" ref="BK115">SUMPRODUCT(--($AO115:$BF115 = (TRANSPOSE($Y$3:$Y$20)) + 1))</f>
        <v>4</v>
      </c>
      <c r="BL115" cm="1">
        <f t="array" ref="BL115">SUMPRODUCT(--($AO115:$BF115 = (TRANSPOSE($Y$3:$Y$20)) + 2))</f>
        <v>1</v>
      </c>
      <c r="BM115" cm="1">
        <f t="array" ref="BM115">SUMPRODUCT(--($AO115:$BF115 = (TRANSPOSE($Y$3:$Y$20)) + 3))</f>
        <v>0</v>
      </c>
      <c r="BN115" cm="1">
        <f t="array" ref="BN115">SUMPRODUCT(--($AO115:$BF115 &gt;= (TRANSPOSE($Y$3:$Y$20)) + 4))</f>
        <v>0</v>
      </c>
      <c r="BO115">
        <f t="shared" si="14"/>
        <v>-3</v>
      </c>
      <c r="BS115" s="3" t="s">
        <v>34</v>
      </c>
      <c r="BW115" s="3" t="s">
        <v>49</v>
      </c>
      <c r="BX115">
        <v>2</v>
      </c>
      <c r="BY115">
        <v>18</v>
      </c>
      <c r="CA115" s="3" t="s">
        <v>49</v>
      </c>
      <c r="CB115">
        <v>2</v>
      </c>
      <c r="CC115">
        <v>18</v>
      </c>
    </row>
    <row r="116" spans="38:81" x14ac:dyDescent="0.25">
      <c r="AL116" t="s">
        <v>44</v>
      </c>
      <c r="AM116">
        <v>30</v>
      </c>
      <c r="AN116">
        <v>1</v>
      </c>
      <c r="AO116">
        <v>9</v>
      </c>
      <c r="AP116">
        <v>6</v>
      </c>
      <c r="AQ116">
        <v>5</v>
      </c>
      <c r="AR116">
        <v>3</v>
      </c>
      <c r="AS116">
        <v>5</v>
      </c>
      <c r="AT116">
        <v>6</v>
      </c>
      <c r="AU116">
        <v>4</v>
      </c>
      <c r="AV116">
        <v>6</v>
      </c>
      <c r="AW116">
        <v>6</v>
      </c>
      <c r="AX116">
        <v>5</v>
      </c>
      <c r="AY116">
        <v>4</v>
      </c>
      <c r="AZ116">
        <v>6</v>
      </c>
      <c r="BA116">
        <v>4</v>
      </c>
      <c r="BB116">
        <v>5</v>
      </c>
      <c r="BC116">
        <v>8</v>
      </c>
      <c r="BD116">
        <v>3</v>
      </c>
      <c r="BE116">
        <v>6</v>
      </c>
      <c r="BF116">
        <v>6</v>
      </c>
      <c r="BG116">
        <f t="shared" si="13"/>
        <v>97</v>
      </c>
      <c r="BH116" cm="1">
        <f t="array" ref="BH116">SUMPRODUCT(--($AO116:$BF116 = TRANSPOSE($Y$3:$Y$20)))</f>
        <v>4</v>
      </c>
      <c r="BI116" cm="1">
        <f t="array" ref="BI116">SUMPRODUCT(--($AO116:$BF116 = (TRANSPOSE($Y$3:$Y$20)) - 1))</f>
        <v>0</v>
      </c>
      <c r="BJ116" cm="1">
        <f t="array" ref="BJ116">SUMPRODUCT(--($AO116:$BF116 = (TRANSPOSE($Y$3:$Y$20)) - 2))</f>
        <v>0</v>
      </c>
      <c r="BK116" cm="1">
        <f t="array" ref="BK116">SUMPRODUCT(--($AO116:$BF116 = (TRANSPOSE($Y$3:$Y$20)) + 1))</f>
        <v>6</v>
      </c>
      <c r="BL116" cm="1">
        <f t="array" ref="BL116">SUMPRODUCT(--($AO116:$BF116 = (TRANSPOSE($Y$3:$Y$20)) + 2))</f>
        <v>6</v>
      </c>
      <c r="BM116" cm="1">
        <f t="array" ref="BM116">SUMPRODUCT(--($AO116:$BF116 = (TRANSPOSE($Y$3:$Y$20)) + 3))</f>
        <v>0</v>
      </c>
      <c r="BN116" cm="1">
        <f t="array" ref="BN116">SUMPRODUCT(--($AO116:$BF116 &gt;= (TRANSPOSE($Y$3:$Y$20)) + 4))</f>
        <v>2</v>
      </c>
      <c r="BO116">
        <f t="shared" si="14"/>
        <v>-4</v>
      </c>
      <c r="BS116" s="3" t="s">
        <v>39</v>
      </c>
      <c r="BW116" s="3" t="s">
        <v>52</v>
      </c>
      <c r="BX116">
        <v>15</v>
      </c>
      <c r="BY116">
        <v>29</v>
      </c>
      <c r="CA116" s="3" t="s">
        <v>52</v>
      </c>
      <c r="CB116">
        <v>15</v>
      </c>
      <c r="CC116">
        <v>29</v>
      </c>
    </row>
    <row r="117" spans="38:81" x14ac:dyDescent="0.25">
      <c r="AL117" t="s">
        <v>42</v>
      </c>
      <c r="AM117">
        <v>28</v>
      </c>
      <c r="AN117">
        <v>1</v>
      </c>
      <c r="AO117">
        <v>6</v>
      </c>
      <c r="AP117">
        <v>7</v>
      </c>
      <c r="AQ117">
        <v>6</v>
      </c>
      <c r="AR117">
        <v>5</v>
      </c>
      <c r="AS117">
        <v>5</v>
      </c>
      <c r="AT117">
        <v>5</v>
      </c>
      <c r="AU117">
        <v>4</v>
      </c>
      <c r="AV117">
        <v>5</v>
      </c>
      <c r="AW117">
        <v>6</v>
      </c>
      <c r="AX117">
        <v>7</v>
      </c>
      <c r="AY117">
        <v>5</v>
      </c>
      <c r="AZ117">
        <v>5</v>
      </c>
      <c r="BA117">
        <v>4</v>
      </c>
      <c r="BB117">
        <v>6</v>
      </c>
      <c r="BC117">
        <v>5</v>
      </c>
      <c r="BD117">
        <v>4</v>
      </c>
      <c r="BE117">
        <v>4</v>
      </c>
      <c r="BF117">
        <v>6</v>
      </c>
      <c r="BG117">
        <f t="shared" si="13"/>
        <v>95</v>
      </c>
      <c r="BH117" cm="1">
        <f t="array" ref="BH117">SUMPRODUCT(--($AO117:$BF117 = TRANSPOSE($Y$3:$Y$20)))</f>
        <v>3</v>
      </c>
      <c r="BI117" cm="1">
        <f t="array" ref="BI117">SUMPRODUCT(--($AO117:$BF117 = (TRANSPOSE($Y$3:$Y$20)) - 1))</f>
        <v>0</v>
      </c>
      <c r="BJ117" cm="1">
        <f t="array" ref="BJ117">SUMPRODUCT(--($AO117:$BF117 = (TRANSPOSE($Y$3:$Y$20)) - 2))</f>
        <v>0</v>
      </c>
      <c r="BK117" cm="1">
        <f t="array" ref="BK117">SUMPRODUCT(--($AO117:$BF117 = (TRANSPOSE($Y$3:$Y$20)) + 1))</f>
        <v>8</v>
      </c>
      <c r="BL117" cm="1">
        <f t="array" ref="BL117">SUMPRODUCT(--($AO117:$BF117 = (TRANSPOSE($Y$3:$Y$20)) + 2))</f>
        <v>5</v>
      </c>
      <c r="BM117" cm="1">
        <f t="array" ref="BM117">SUMPRODUCT(--($AO117:$BF117 = (TRANSPOSE($Y$3:$Y$20)) + 3))</f>
        <v>2</v>
      </c>
      <c r="BN117" cm="1">
        <f t="array" ref="BN117">SUMPRODUCT(--($AO117:$BF117 &gt;= (TRANSPOSE($Y$3:$Y$20)) + 4))</f>
        <v>0</v>
      </c>
      <c r="BO117">
        <f t="shared" si="14"/>
        <v>-4</v>
      </c>
      <c r="BS117" s="3" t="s">
        <v>33</v>
      </c>
      <c r="BW117" s="3" t="s">
        <v>41</v>
      </c>
      <c r="BX117">
        <v>-2</v>
      </c>
      <c r="BY117">
        <v>8</v>
      </c>
      <c r="CA117" s="3" t="s">
        <v>41</v>
      </c>
      <c r="CB117">
        <v>-2</v>
      </c>
      <c r="CC117">
        <v>8</v>
      </c>
    </row>
    <row r="118" spans="38:81" x14ac:dyDescent="0.25">
      <c r="AL118" t="s">
        <v>28</v>
      </c>
      <c r="AM118">
        <v>18</v>
      </c>
      <c r="AN118">
        <v>1</v>
      </c>
      <c r="AO118">
        <v>6</v>
      </c>
      <c r="AP118">
        <v>6</v>
      </c>
      <c r="AQ118">
        <v>4</v>
      </c>
      <c r="AR118">
        <v>4</v>
      </c>
      <c r="AS118">
        <v>3</v>
      </c>
      <c r="AT118">
        <v>4</v>
      </c>
      <c r="AU118">
        <v>4</v>
      </c>
      <c r="AV118">
        <v>5</v>
      </c>
      <c r="AW118">
        <v>5</v>
      </c>
      <c r="AX118">
        <v>5</v>
      </c>
      <c r="AY118">
        <v>3</v>
      </c>
      <c r="AZ118">
        <v>4</v>
      </c>
      <c r="BA118">
        <v>4</v>
      </c>
      <c r="BB118">
        <v>6</v>
      </c>
      <c r="BC118">
        <v>8</v>
      </c>
      <c r="BD118">
        <v>4</v>
      </c>
      <c r="BE118">
        <v>4</v>
      </c>
      <c r="BF118">
        <v>6</v>
      </c>
      <c r="BG118">
        <f t="shared" si="13"/>
        <v>85</v>
      </c>
      <c r="BH118" cm="1">
        <f t="array" ref="BH118">SUMPRODUCT(--($AO118:$BF118 = TRANSPOSE($Y$3:$Y$20)))</f>
        <v>5</v>
      </c>
      <c r="BI118" cm="1">
        <f t="array" ref="BI118">SUMPRODUCT(--($AO118:$BF118 = (TRANSPOSE($Y$3:$Y$20)) - 1))</f>
        <v>2</v>
      </c>
      <c r="BJ118" cm="1">
        <f t="array" ref="BJ118">SUMPRODUCT(--($AO118:$BF118 = (TRANSPOSE($Y$3:$Y$20)) - 2))</f>
        <v>0</v>
      </c>
      <c r="BK118" cm="1">
        <f t="array" ref="BK118">SUMPRODUCT(--($AO118:$BF118 = (TRANSPOSE($Y$3:$Y$20)) + 1))</f>
        <v>8</v>
      </c>
      <c r="BL118" cm="1">
        <f t="array" ref="BL118">SUMPRODUCT(--($AO118:$BF118 = (TRANSPOSE($Y$3:$Y$20)) + 2))</f>
        <v>2</v>
      </c>
      <c r="BM118" cm="1">
        <f t="array" ref="BM118">SUMPRODUCT(--($AO118:$BF118 = (TRANSPOSE($Y$3:$Y$20)) + 3))</f>
        <v>0</v>
      </c>
      <c r="BN118" cm="1">
        <f t="array" ref="BN118">SUMPRODUCT(--($AO118:$BF118 &gt;= (TRANSPOSE($Y$3:$Y$20)) + 4))</f>
        <v>1</v>
      </c>
      <c r="BO118">
        <f t="shared" si="14"/>
        <v>-4</v>
      </c>
      <c r="BS118" s="3" t="s">
        <v>36</v>
      </c>
      <c r="BW118" s="3" t="s">
        <v>28</v>
      </c>
      <c r="BX118">
        <v>-6</v>
      </c>
      <c r="BY118">
        <v>2</v>
      </c>
      <c r="CA118" s="3" t="s">
        <v>28</v>
      </c>
      <c r="CB118">
        <v>-6</v>
      </c>
      <c r="CC118">
        <v>2</v>
      </c>
    </row>
    <row r="119" spans="38:81" x14ac:dyDescent="0.25">
      <c r="AL119" t="s">
        <v>24</v>
      </c>
      <c r="AM119">
        <v>8</v>
      </c>
      <c r="AN119">
        <v>1</v>
      </c>
      <c r="AO119">
        <v>5</v>
      </c>
      <c r="AP119">
        <v>4</v>
      </c>
      <c r="AQ119">
        <v>5</v>
      </c>
      <c r="AR119">
        <v>4</v>
      </c>
      <c r="AS119">
        <v>3</v>
      </c>
      <c r="AT119">
        <v>4</v>
      </c>
      <c r="AU119">
        <v>3</v>
      </c>
      <c r="AV119">
        <v>4</v>
      </c>
      <c r="AW119">
        <v>5</v>
      </c>
      <c r="AX119">
        <v>4</v>
      </c>
      <c r="AY119">
        <v>3</v>
      </c>
      <c r="AZ119">
        <v>5</v>
      </c>
      <c r="BA119">
        <v>3</v>
      </c>
      <c r="BB119">
        <v>6</v>
      </c>
      <c r="BC119">
        <v>4</v>
      </c>
      <c r="BD119">
        <v>4</v>
      </c>
      <c r="BE119">
        <v>4</v>
      </c>
      <c r="BF119">
        <v>5</v>
      </c>
      <c r="BG119">
        <f t="shared" si="13"/>
        <v>75</v>
      </c>
      <c r="BH119" cm="1">
        <f t="array" ref="BH119">SUMPRODUCT(--($AO119:$BF119 = TRANSPOSE($Y$3:$Y$20)))</f>
        <v>8</v>
      </c>
      <c r="BI119" cm="1">
        <f t="array" ref="BI119">SUMPRODUCT(--($AO119:$BF119 = (TRANSPOSE($Y$3:$Y$20)) - 1))</f>
        <v>3</v>
      </c>
      <c r="BJ119" cm="1">
        <f t="array" ref="BJ119">SUMPRODUCT(--($AO119:$BF119 = (TRANSPOSE($Y$3:$Y$20)) - 2))</f>
        <v>0</v>
      </c>
      <c r="BK119" cm="1">
        <f t="array" ref="BK119">SUMPRODUCT(--($AO119:$BF119 = (TRANSPOSE($Y$3:$Y$20)) + 1))</f>
        <v>7</v>
      </c>
      <c r="BL119" cm="1">
        <f t="array" ref="BL119">SUMPRODUCT(--($AO119:$BF119 = (TRANSPOSE($Y$3:$Y$20)) + 2))</f>
        <v>0</v>
      </c>
      <c r="BM119" cm="1">
        <f t="array" ref="BM119">SUMPRODUCT(--($AO119:$BF119 = (TRANSPOSE($Y$3:$Y$20)) + 3))</f>
        <v>0</v>
      </c>
      <c r="BN119" cm="1">
        <f t="array" ref="BN119">SUMPRODUCT(--($AO119:$BF119 &gt;= (TRANSPOSE($Y$3:$Y$20)) + 4))</f>
        <v>0</v>
      </c>
      <c r="BO119">
        <f t="shared" si="14"/>
        <v>-4</v>
      </c>
      <c r="BS119" s="3" t="s">
        <v>50</v>
      </c>
      <c r="BW119" s="3" t="s">
        <v>44</v>
      </c>
      <c r="BX119">
        <v>-7</v>
      </c>
      <c r="BY119">
        <v>1</v>
      </c>
      <c r="CA119" s="3" t="s">
        <v>44</v>
      </c>
      <c r="CB119">
        <v>-7</v>
      </c>
      <c r="CC119">
        <v>1</v>
      </c>
    </row>
    <row r="120" spans="38:81" x14ac:dyDescent="0.25">
      <c r="AL120" t="s">
        <v>53</v>
      </c>
      <c r="AM120">
        <v>40</v>
      </c>
      <c r="AN120">
        <v>2</v>
      </c>
      <c r="AO120">
        <v>7</v>
      </c>
      <c r="AP120">
        <v>7</v>
      </c>
      <c r="AQ120">
        <v>6</v>
      </c>
      <c r="AR120">
        <v>5</v>
      </c>
      <c r="AS120">
        <v>6</v>
      </c>
      <c r="AT120">
        <v>6</v>
      </c>
      <c r="AU120">
        <v>4</v>
      </c>
      <c r="AV120">
        <v>4</v>
      </c>
      <c r="AW120">
        <v>7</v>
      </c>
      <c r="AX120">
        <v>8</v>
      </c>
      <c r="AY120">
        <v>3</v>
      </c>
      <c r="AZ120">
        <v>6</v>
      </c>
      <c r="BA120">
        <v>6</v>
      </c>
      <c r="BB120">
        <v>7</v>
      </c>
      <c r="BC120">
        <v>7</v>
      </c>
      <c r="BD120">
        <v>3</v>
      </c>
      <c r="BE120">
        <v>7</v>
      </c>
      <c r="BF120">
        <v>7</v>
      </c>
      <c r="BG120">
        <f t="shared" si="13"/>
        <v>106</v>
      </c>
      <c r="BH120" cm="1">
        <f t="array" ref="BH120">SUMPRODUCT(--($AO120:$BF120 = TRANSPOSE($Y$3:$Y$20)))</f>
        <v>3</v>
      </c>
      <c r="BI120" cm="1">
        <f t="array" ref="BI120">SUMPRODUCT(--($AO120:$BF120 = (TRANSPOSE($Y$3:$Y$20)) - 1))</f>
        <v>0</v>
      </c>
      <c r="BJ120" cm="1">
        <f t="array" ref="BJ120">SUMPRODUCT(--($AO120:$BF120 = (TRANSPOSE($Y$3:$Y$20)) - 2))</f>
        <v>0</v>
      </c>
      <c r="BK120" cm="1">
        <f t="array" ref="BK120">SUMPRODUCT(--($AO120:$BF120 = (TRANSPOSE($Y$3:$Y$20)) + 1))</f>
        <v>2</v>
      </c>
      <c r="BL120" cm="1">
        <f t="array" ref="BL120">SUMPRODUCT(--($AO120:$BF120 = (TRANSPOSE($Y$3:$Y$20)) + 2))</f>
        <v>7</v>
      </c>
      <c r="BM120" cm="1">
        <f t="array" ref="BM120">SUMPRODUCT(--($AO120:$BF120 = (TRANSPOSE($Y$3:$Y$20)) + 3))</f>
        <v>5</v>
      </c>
      <c r="BN120" cm="1">
        <f t="array" ref="BN120">SUMPRODUCT(--($AO120:$BF120 &gt;= (TRANSPOSE($Y$3:$Y$20)) + 4))</f>
        <v>1</v>
      </c>
      <c r="BO120">
        <f t="shared" si="14"/>
        <v>-5</v>
      </c>
      <c r="BS120" s="3" t="s">
        <v>35</v>
      </c>
      <c r="BW120" s="3" t="s">
        <v>38</v>
      </c>
      <c r="BX120">
        <v>8</v>
      </c>
      <c r="BY120">
        <v>26</v>
      </c>
      <c r="CA120" s="3" t="s">
        <v>38</v>
      </c>
      <c r="CB120">
        <v>8</v>
      </c>
      <c r="CC120">
        <v>26</v>
      </c>
    </row>
    <row r="121" spans="38:81" x14ac:dyDescent="0.25">
      <c r="AL121" t="s">
        <v>27</v>
      </c>
      <c r="AM121">
        <v>26</v>
      </c>
      <c r="AN121">
        <v>2</v>
      </c>
      <c r="AO121">
        <v>6</v>
      </c>
      <c r="AP121">
        <v>7</v>
      </c>
      <c r="AQ121">
        <v>5</v>
      </c>
      <c r="AR121">
        <v>4</v>
      </c>
      <c r="AS121">
        <v>5</v>
      </c>
      <c r="AT121">
        <v>4</v>
      </c>
      <c r="AU121">
        <v>5</v>
      </c>
      <c r="AV121">
        <v>6</v>
      </c>
      <c r="AW121">
        <v>6</v>
      </c>
      <c r="AX121">
        <v>6</v>
      </c>
      <c r="AY121">
        <v>6</v>
      </c>
      <c r="AZ121">
        <v>3</v>
      </c>
      <c r="BA121">
        <v>5</v>
      </c>
      <c r="BB121">
        <v>5</v>
      </c>
      <c r="BC121">
        <v>5</v>
      </c>
      <c r="BD121">
        <v>3</v>
      </c>
      <c r="BE121">
        <v>5</v>
      </c>
      <c r="BF121">
        <v>6</v>
      </c>
      <c r="BG121">
        <f t="shared" si="13"/>
        <v>92</v>
      </c>
      <c r="BH121" cm="1">
        <f t="array" ref="BH121">SUMPRODUCT(--($AO121:$BF121 = TRANSPOSE($Y$3:$Y$20)))</f>
        <v>2</v>
      </c>
      <c r="BI121" cm="1">
        <f t="array" ref="BI121">SUMPRODUCT(--($AO121:$BF121 = (TRANSPOSE($Y$3:$Y$20)) - 1))</f>
        <v>2</v>
      </c>
      <c r="BJ121" cm="1">
        <f t="array" ref="BJ121">SUMPRODUCT(--($AO121:$BF121 = (TRANSPOSE($Y$3:$Y$20)) - 2))</f>
        <v>0</v>
      </c>
      <c r="BK121" cm="1">
        <f t="array" ref="BK121">SUMPRODUCT(--($AO121:$BF121 = (TRANSPOSE($Y$3:$Y$20)) + 1))</f>
        <v>7</v>
      </c>
      <c r="BL121" cm="1">
        <f t="array" ref="BL121">SUMPRODUCT(--($AO121:$BF121 = (TRANSPOSE($Y$3:$Y$20)) + 2))</f>
        <v>5</v>
      </c>
      <c r="BM121" cm="1">
        <f t="array" ref="BM121">SUMPRODUCT(--($AO121:$BF121 = (TRANSPOSE($Y$3:$Y$20)) + 3))</f>
        <v>2</v>
      </c>
      <c r="BN121" cm="1">
        <f t="array" ref="BN121">SUMPRODUCT(--($AO121:$BF121 &gt;= (TRANSPOSE($Y$3:$Y$20)) + 4))</f>
        <v>0</v>
      </c>
      <c r="BO121">
        <f t="shared" si="14"/>
        <v>-5</v>
      </c>
      <c r="BS121" s="3" t="s">
        <v>30</v>
      </c>
      <c r="BW121" s="3" t="s">
        <v>48</v>
      </c>
      <c r="BX121">
        <v>5</v>
      </c>
      <c r="BY121">
        <v>25</v>
      </c>
      <c r="CA121" s="3" t="s">
        <v>48</v>
      </c>
      <c r="CB121">
        <v>5</v>
      </c>
      <c r="CC121">
        <v>25</v>
      </c>
    </row>
    <row r="122" spans="38:81" x14ac:dyDescent="0.25">
      <c r="BS122" s="3" t="s">
        <v>31</v>
      </c>
      <c r="BW122" s="3" t="s">
        <v>47</v>
      </c>
      <c r="BX122">
        <v>0</v>
      </c>
      <c r="BY122">
        <v>14</v>
      </c>
      <c r="CA122" s="3" t="s">
        <v>47</v>
      </c>
      <c r="CB122">
        <v>0</v>
      </c>
      <c r="CC122">
        <v>14</v>
      </c>
    </row>
    <row r="123" spans="38:81" x14ac:dyDescent="0.25">
      <c r="BS123" s="3" t="s">
        <v>42</v>
      </c>
      <c r="BW123" s="3" t="s">
        <v>37</v>
      </c>
      <c r="BX123">
        <v>-2</v>
      </c>
      <c r="BY123">
        <v>8</v>
      </c>
      <c r="CA123" s="3" t="s">
        <v>37</v>
      </c>
      <c r="CB123">
        <v>-2</v>
      </c>
      <c r="CC123">
        <v>8</v>
      </c>
    </row>
    <row r="124" spans="38:81" x14ac:dyDescent="0.25">
      <c r="BS124" s="3" t="s">
        <v>40</v>
      </c>
      <c r="CA124" s="3" t="s">
        <v>57</v>
      </c>
      <c r="CB124">
        <v>69</v>
      </c>
      <c r="CC124">
        <v>504</v>
      </c>
    </row>
    <row r="125" spans="38:81" x14ac:dyDescent="0.25">
      <c r="BS125" s="3" t="s">
        <v>23</v>
      </c>
    </row>
    <row r="126" spans="38:81" x14ac:dyDescent="0.25">
      <c r="BS126" s="3" t="s">
        <v>24</v>
      </c>
    </row>
    <row r="127" spans="38:81" x14ac:dyDescent="0.25">
      <c r="AL127" s="2" t="s">
        <v>87</v>
      </c>
      <c r="AM127" t="s">
        <v>91</v>
      </c>
      <c r="AN127" t="s">
        <v>92</v>
      </c>
      <c r="AO127" t="s">
        <v>93</v>
      </c>
      <c r="AP127" t="s">
        <v>94</v>
      </c>
      <c r="AQ127" t="s">
        <v>95</v>
      </c>
      <c r="AR127" t="s">
        <v>96</v>
      </c>
      <c r="AS127" t="s">
        <v>97</v>
      </c>
      <c r="BS127" s="3" t="s">
        <v>51</v>
      </c>
    </row>
    <row r="128" spans="38:81" x14ac:dyDescent="0.25">
      <c r="AL128" s="3" t="s">
        <v>22</v>
      </c>
      <c r="AM128">
        <v>12</v>
      </c>
      <c r="AN128">
        <v>0</v>
      </c>
      <c r="AO128">
        <v>1</v>
      </c>
      <c r="AP128">
        <v>12</v>
      </c>
      <c r="AQ128">
        <v>10</v>
      </c>
      <c r="AR128">
        <v>0</v>
      </c>
      <c r="AS128">
        <v>1</v>
      </c>
      <c r="BS128" s="3" t="s">
        <v>26</v>
      </c>
    </row>
    <row r="129" spans="38:82" x14ac:dyDescent="0.25">
      <c r="AL129" s="3" t="s">
        <v>25</v>
      </c>
      <c r="AM129">
        <v>9</v>
      </c>
      <c r="AN129">
        <v>2</v>
      </c>
      <c r="AO129">
        <v>0</v>
      </c>
      <c r="AP129">
        <v>13</v>
      </c>
      <c r="AQ129">
        <v>7</v>
      </c>
      <c r="AR129">
        <v>5</v>
      </c>
      <c r="AS129">
        <v>0</v>
      </c>
      <c r="BS129" s="3" t="s">
        <v>45</v>
      </c>
    </row>
    <row r="130" spans="38:82" x14ac:dyDescent="0.25">
      <c r="AL130" s="3" t="s">
        <v>43</v>
      </c>
      <c r="AM130">
        <v>9</v>
      </c>
      <c r="AN130">
        <v>1</v>
      </c>
      <c r="AO130">
        <v>0</v>
      </c>
      <c r="AP130">
        <v>12</v>
      </c>
      <c r="AQ130">
        <v>7</v>
      </c>
      <c r="AR130">
        <v>4</v>
      </c>
      <c r="AS130">
        <v>3</v>
      </c>
      <c r="BS130" s="3" t="s">
        <v>49</v>
      </c>
    </row>
    <row r="131" spans="38:82" x14ac:dyDescent="0.25">
      <c r="AL131" s="3" t="s">
        <v>46</v>
      </c>
      <c r="AM131">
        <v>5</v>
      </c>
      <c r="AN131">
        <v>2</v>
      </c>
      <c r="AO131">
        <v>0</v>
      </c>
      <c r="AP131">
        <v>13</v>
      </c>
      <c r="AQ131">
        <v>11</v>
      </c>
      <c r="AR131">
        <v>2</v>
      </c>
      <c r="AS131">
        <v>3</v>
      </c>
      <c r="BS131" s="3" t="s">
        <v>52</v>
      </c>
    </row>
    <row r="132" spans="38:82" x14ac:dyDescent="0.25">
      <c r="AL132" s="3" t="s">
        <v>29</v>
      </c>
      <c r="AM132">
        <v>8</v>
      </c>
      <c r="AN132">
        <v>1</v>
      </c>
      <c r="AO132">
        <v>0</v>
      </c>
      <c r="AP132">
        <v>8</v>
      </c>
      <c r="AQ132">
        <v>1</v>
      </c>
      <c r="AR132">
        <v>0</v>
      </c>
      <c r="AS132">
        <v>0</v>
      </c>
      <c r="BS132" s="3" t="s">
        <v>41</v>
      </c>
      <c r="BX132" s="2" t="s">
        <v>87</v>
      </c>
      <c r="BY132" t="s">
        <v>106</v>
      </c>
      <c r="BZ132" t="s">
        <v>107</v>
      </c>
      <c r="CC132" s="2" t="s">
        <v>87</v>
      </c>
      <c r="CD132" t="s">
        <v>101</v>
      </c>
    </row>
    <row r="133" spans="38:82" x14ac:dyDescent="0.25">
      <c r="AL133" s="3" t="s">
        <v>27</v>
      </c>
      <c r="AM133">
        <v>4</v>
      </c>
      <c r="AN133">
        <v>2</v>
      </c>
      <c r="AO133">
        <v>0</v>
      </c>
      <c r="AP133">
        <v>15</v>
      </c>
      <c r="AQ133">
        <v>8</v>
      </c>
      <c r="AR133">
        <v>7</v>
      </c>
      <c r="AS133">
        <v>0</v>
      </c>
      <c r="BS133" s="3" t="s">
        <v>28</v>
      </c>
      <c r="BX133" s="3" t="s">
        <v>22</v>
      </c>
      <c r="BY133">
        <v>-2</v>
      </c>
      <c r="BZ133">
        <v>8</v>
      </c>
      <c r="CC133" s="3" t="s">
        <v>22</v>
      </c>
    </row>
    <row r="134" spans="38:82" x14ac:dyDescent="0.25">
      <c r="AL134" s="3" t="s">
        <v>32</v>
      </c>
      <c r="AM134">
        <v>15</v>
      </c>
      <c r="AN134">
        <v>5</v>
      </c>
      <c r="AO134">
        <v>0</v>
      </c>
      <c r="AP134">
        <v>13</v>
      </c>
      <c r="AQ134">
        <v>2</v>
      </c>
      <c r="AR134">
        <v>1</v>
      </c>
      <c r="AS134">
        <v>0</v>
      </c>
      <c r="BS134" s="3" t="s">
        <v>44</v>
      </c>
      <c r="BX134" s="3" t="s">
        <v>25</v>
      </c>
      <c r="BY134">
        <v>0</v>
      </c>
      <c r="BZ134">
        <v>14</v>
      </c>
      <c r="CC134" s="18" t="s">
        <v>65</v>
      </c>
      <c r="CD134">
        <v>0</v>
      </c>
    </row>
    <row r="135" spans="38:82" x14ac:dyDescent="0.25">
      <c r="AL135" s="3" t="s">
        <v>53</v>
      </c>
      <c r="AM135">
        <v>4</v>
      </c>
      <c r="AN135">
        <v>0</v>
      </c>
      <c r="AO135">
        <v>0</v>
      </c>
      <c r="AP135">
        <v>6</v>
      </c>
      <c r="AQ135">
        <v>14</v>
      </c>
      <c r="AR135">
        <v>9</v>
      </c>
      <c r="AS135">
        <v>3</v>
      </c>
      <c r="BS135" s="3" t="s">
        <v>38</v>
      </c>
      <c r="BX135" s="3" t="s">
        <v>43</v>
      </c>
      <c r="BY135">
        <v>8</v>
      </c>
      <c r="BZ135">
        <v>26</v>
      </c>
      <c r="CC135" s="18" t="s">
        <v>67</v>
      </c>
      <c r="CD135">
        <v>12</v>
      </c>
    </row>
    <row r="136" spans="38:82" x14ac:dyDescent="0.25">
      <c r="AL136" s="3" t="s">
        <v>34</v>
      </c>
      <c r="AM136">
        <v>10</v>
      </c>
      <c r="AN136">
        <v>4</v>
      </c>
      <c r="AO136">
        <v>0</v>
      </c>
      <c r="AP136">
        <v>9</v>
      </c>
      <c r="AQ136">
        <v>9</v>
      </c>
      <c r="AR136">
        <v>1</v>
      </c>
      <c r="AS136">
        <v>3</v>
      </c>
      <c r="BS136" s="3" t="s">
        <v>48</v>
      </c>
      <c r="BX136" s="3" t="s">
        <v>46</v>
      </c>
      <c r="BY136">
        <v>16</v>
      </c>
      <c r="BZ136">
        <v>32</v>
      </c>
      <c r="CC136" s="18" t="s">
        <v>88</v>
      </c>
      <c r="CD136">
        <v>10</v>
      </c>
    </row>
    <row r="137" spans="38:82" x14ac:dyDescent="0.25">
      <c r="AL137" s="3" t="s">
        <v>39</v>
      </c>
      <c r="AM137">
        <v>15</v>
      </c>
      <c r="AN137">
        <v>2</v>
      </c>
      <c r="AO137">
        <v>0</v>
      </c>
      <c r="AP137">
        <v>9</v>
      </c>
      <c r="AQ137">
        <v>5</v>
      </c>
      <c r="AR137">
        <v>2</v>
      </c>
      <c r="AS137">
        <v>3</v>
      </c>
      <c r="BS137" s="3" t="s">
        <v>47</v>
      </c>
      <c r="BX137" s="3" t="s">
        <v>29</v>
      </c>
      <c r="BY137">
        <v>-1</v>
      </c>
      <c r="BZ137">
        <v>12</v>
      </c>
      <c r="CC137" s="18" t="s">
        <v>64</v>
      </c>
      <c r="CD137">
        <v>1</v>
      </c>
    </row>
    <row r="138" spans="38:82" x14ac:dyDescent="0.25">
      <c r="AL138" s="3" t="s">
        <v>33</v>
      </c>
      <c r="AM138">
        <v>7</v>
      </c>
      <c r="AN138">
        <v>2</v>
      </c>
      <c r="AO138">
        <v>0</v>
      </c>
      <c r="AP138">
        <v>7</v>
      </c>
      <c r="AQ138">
        <v>2</v>
      </c>
      <c r="AR138">
        <v>0</v>
      </c>
      <c r="AS138">
        <v>0</v>
      </c>
      <c r="BS138" s="3" t="s">
        <v>37</v>
      </c>
      <c r="BX138" s="3" t="s">
        <v>27</v>
      </c>
      <c r="BY138">
        <v>-2</v>
      </c>
      <c r="BZ138">
        <v>8</v>
      </c>
      <c r="CC138" s="18" t="s">
        <v>66</v>
      </c>
      <c r="CD138">
        <v>12</v>
      </c>
    </row>
    <row r="139" spans="38:82" x14ac:dyDescent="0.25">
      <c r="AL139" s="3" t="s">
        <v>36</v>
      </c>
      <c r="AM139">
        <v>7</v>
      </c>
      <c r="AN139">
        <v>3</v>
      </c>
      <c r="AO139">
        <v>0</v>
      </c>
      <c r="AP139">
        <v>17</v>
      </c>
      <c r="AQ139">
        <v>9</v>
      </c>
      <c r="AR139">
        <v>0</v>
      </c>
      <c r="AS139">
        <v>0</v>
      </c>
      <c r="BS139" s="3" t="s">
        <v>57</v>
      </c>
      <c r="BX139" s="3" t="s">
        <v>32</v>
      </c>
      <c r="BY139">
        <v>3</v>
      </c>
      <c r="BZ139">
        <v>20</v>
      </c>
      <c r="CC139" s="18" t="s">
        <v>89</v>
      </c>
      <c r="CD139">
        <v>1</v>
      </c>
    </row>
    <row r="140" spans="38:82" x14ac:dyDescent="0.25">
      <c r="AL140" s="3" t="s">
        <v>50</v>
      </c>
      <c r="AM140">
        <v>9</v>
      </c>
      <c r="AN140">
        <v>1</v>
      </c>
      <c r="AO140">
        <v>0</v>
      </c>
      <c r="AP140">
        <v>12</v>
      </c>
      <c r="AQ140">
        <v>7</v>
      </c>
      <c r="AR140">
        <v>6</v>
      </c>
      <c r="AS140">
        <v>1</v>
      </c>
      <c r="BX140" s="3" t="s">
        <v>53</v>
      </c>
      <c r="BY140">
        <v>-4</v>
      </c>
      <c r="BZ140">
        <v>4</v>
      </c>
      <c r="CC140" s="18" t="s">
        <v>69</v>
      </c>
      <c r="CD140">
        <v>0</v>
      </c>
    </row>
    <row r="141" spans="38:82" x14ac:dyDescent="0.25">
      <c r="AL141" s="3" t="s">
        <v>35</v>
      </c>
      <c r="AM141">
        <v>13</v>
      </c>
      <c r="AN141">
        <v>2</v>
      </c>
      <c r="AO141">
        <v>0</v>
      </c>
      <c r="AP141">
        <v>10</v>
      </c>
      <c r="AQ141">
        <v>8</v>
      </c>
      <c r="AR141">
        <v>2</v>
      </c>
      <c r="AS141">
        <v>1</v>
      </c>
      <c r="BX141" s="3" t="s">
        <v>34</v>
      </c>
      <c r="BY141">
        <v>15</v>
      </c>
      <c r="BZ141">
        <v>29</v>
      </c>
      <c r="CC141" s="3" t="s">
        <v>25</v>
      </c>
    </row>
    <row r="142" spans="38:82" x14ac:dyDescent="0.25">
      <c r="AL142" s="3" t="s">
        <v>30</v>
      </c>
      <c r="AM142">
        <v>5</v>
      </c>
      <c r="AN142">
        <v>3</v>
      </c>
      <c r="AO142">
        <v>0</v>
      </c>
      <c r="AP142">
        <v>12</v>
      </c>
      <c r="AQ142">
        <v>11</v>
      </c>
      <c r="AR142">
        <v>3</v>
      </c>
      <c r="AS142">
        <v>2</v>
      </c>
      <c r="BX142" s="3" t="s">
        <v>39</v>
      </c>
      <c r="BY142">
        <v>3</v>
      </c>
      <c r="BZ142">
        <v>20</v>
      </c>
      <c r="CC142" s="18" t="s">
        <v>65</v>
      </c>
      <c r="CD142">
        <v>2</v>
      </c>
    </row>
    <row r="143" spans="38:82" x14ac:dyDescent="0.25">
      <c r="AL143" s="3" t="s">
        <v>31</v>
      </c>
      <c r="AM143">
        <v>9</v>
      </c>
      <c r="AN143">
        <v>2</v>
      </c>
      <c r="AO143">
        <v>0</v>
      </c>
      <c r="AP143">
        <v>14</v>
      </c>
      <c r="AQ143">
        <v>8</v>
      </c>
      <c r="AR143">
        <v>3</v>
      </c>
      <c r="AS143">
        <v>0</v>
      </c>
      <c r="BX143" s="3" t="s">
        <v>33</v>
      </c>
      <c r="BY143">
        <v>3</v>
      </c>
      <c r="BZ143">
        <v>20</v>
      </c>
      <c r="CC143" s="18" t="s">
        <v>67</v>
      </c>
      <c r="CD143">
        <v>13</v>
      </c>
    </row>
    <row r="144" spans="38:82" x14ac:dyDescent="0.25">
      <c r="AL144" s="3" t="s">
        <v>42</v>
      </c>
      <c r="AM144">
        <v>7</v>
      </c>
      <c r="AN144">
        <v>0</v>
      </c>
      <c r="AO144">
        <v>0</v>
      </c>
      <c r="AP144">
        <v>10</v>
      </c>
      <c r="AQ144">
        <v>12</v>
      </c>
      <c r="AR144">
        <v>4</v>
      </c>
      <c r="AS144">
        <v>3</v>
      </c>
      <c r="BX144" s="3" t="s">
        <v>36</v>
      </c>
      <c r="BY144">
        <v>4</v>
      </c>
      <c r="BZ144">
        <v>23</v>
      </c>
      <c r="CC144" s="18" t="s">
        <v>88</v>
      </c>
      <c r="CD144">
        <v>7</v>
      </c>
    </row>
    <row r="145" spans="38:82" x14ac:dyDescent="0.25">
      <c r="AL145" s="3" t="s">
        <v>40</v>
      </c>
      <c r="AM145">
        <v>21</v>
      </c>
      <c r="AN145">
        <v>4</v>
      </c>
      <c r="AO145">
        <v>0</v>
      </c>
      <c r="AP145">
        <v>8</v>
      </c>
      <c r="AQ145">
        <v>3</v>
      </c>
      <c r="AR145">
        <v>0</v>
      </c>
      <c r="AS145">
        <v>0</v>
      </c>
      <c r="BX145" s="3" t="s">
        <v>50</v>
      </c>
      <c r="BY145">
        <v>-3</v>
      </c>
      <c r="BZ145">
        <v>7</v>
      </c>
      <c r="CC145" s="18" t="s">
        <v>64</v>
      </c>
      <c r="CD145">
        <v>0</v>
      </c>
    </row>
    <row r="146" spans="38:82" x14ac:dyDescent="0.25">
      <c r="AL146" s="3" t="s">
        <v>23</v>
      </c>
      <c r="AM146">
        <v>5</v>
      </c>
      <c r="AN146">
        <v>1</v>
      </c>
      <c r="AO146">
        <v>0</v>
      </c>
      <c r="AP146">
        <v>17</v>
      </c>
      <c r="AQ146">
        <v>7</v>
      </c>
      <c r="AR146">
        <v>4</v>
      </c>
      <c r="AS146">
        <v>2</v>
      </c>
      <c r="BX146" s="3" t="s">
        <v>35</v>
      </c>
      <c r="BY146">
        <v>4</v>
      </c>
      <c r="BZ146">
        <v>23</v>
      </c>
      <c r="CC146" s="18" t="s">
        <v>66</v>
      </c>
      <c r="CD146">
        <v>9</v>
      </c>
    </row>
    <row r="147" spans="38:82" x14ac:dyDescent="0.25">
      <c r="AL147" s="3" t="s">
        <v>24</v>
      </c>
      <c r="AM147">
        <v>8</v>
      </c>
      <c r="AN147">
        <v>3</v>
      </c>
      <c r="AO147">
        <v>0</v>
      </c>
      <c r="AP147">
        <v>7</v>
      </c>
      <c r="AQ147">
        <v>0</v>
      </c>
      <c r="AR147">
        <v>0</v>
      </c>
      <c r="AS147">
        <v>0</v>
      </c>
      <c r="BX147" s="3" t="s">
        <v>30</v>
      </c>
      <c r="BY147">
        <v>-5</v>
      </c>
      <c r="BZ147">
        <v>3</v>
      </c>
      <c r="CC147" s="18" t="s">
        <v>89</v>
      </c>
      <c r="CD147">
        <v>0</v>
      </c>
    </row>
    <row r="148" spans="38:82" x14ac:dyDescent="0.25">
      <c r="AL148" s="3" t="s">
        <v>51</v>
      </c>
      <c r="AM148">
        <v>16</v>
      </c>
      <c r="AN148">
        <v>2</v>
      </c>
      <c r="AO148">
        <v>1</v>
      </c>
      <c r="AP148">
        <v>7</v>
      </c>
      <c r="AQ148">
        <v>6</v>
      </c>
      <c r="AR148">
        <v>3</v>
      </c>
      <c r="AS148">
        <v>1</v>
      </c>
      <c r="BA148" s="1" t="s">
        <v>0</v>
      </c>
      <c r="BB148" s="1" t="s">
        <v>1</v>
      </c>
      <c r="BC148" s="1" t="s">
        <v>2</v>
      </c>
      <c r="BD148" s="1" t="s">
        <v>3</v>
      </c>
      <c r="BE148" s="1" t="s">
        <v>4</v>
      </c>
      <c r="BF148" s="1" t="s">
        <v>5</v>
      </c>
      <c r="BG148" s="1" t="s">
        <v>6</v>
      </c>
      <c r="BH148" s="1" t="s">
        <v>7</v>
      </c>
      <c r="BI148" s="1" t="s">
        <v>8</v>
      </c>
      <c r="BJ148" s="1" t="s">
        <v>9</v>
      </c>
      <c r="BK148" s="1" t="s">
        <v>10</v>
      </c>
      <c r="BL148" s="1" t="s">
        <v>11</v>
      </c>
      <c r="BM148" s="1" t="s">
        <v>12</v>
      </c>
      <c r="BN148" s="1" t="s">
        <v>13</v>
      </c>
      <c r="BO148" s="1" t="s">
        <v>14</v>
      </c>
      <c r="BP148" s="1" t="s">
        <v>15</v>
      </c>
      <c r="BQ148" s="1" t="s">
        <v>16</v>
      </c>
      <c r="BR148" s="1" t="s">
        <v>17</v>
      </c>
      <c r="BS148" s="1" t="s">
        <v>18</v>
      </c>
      <c r="BT148" s="1" t="s">
        <v>19</v>
      </c>
      <c r="BU148" s="1" t="s">
        <v>20</v>
      </c>
      <c r="BV148" s="1" t="s">
        <v>21</v>
      </c>
      <c r="BX148" s="3" t="s">
        <v>31</v>
      </c>
      <c r="BY148">
        <v>1</v>
      </c>
      <c r="BZ148">
        <v>17</v>
      </c>
      <c r="CC148" s="18" t="s">
        <v>69</v>
      </c>
      <c r="CD148">
        <v>5</v>
      </c>
    </row>
    <row r="149" spans="38:82" x14ac:dyDescent="0.25">
      <c r="AL149" s="3" t="s">
        <v>26</v>
      </c>
      <c r="AM149">
        <v>13</v>
      </c>
      <c r="AN149">
        <v>0</v>
      </c>
      <c r="AO149">
        <v>1</v>
      </c>
      <c r="AP149">
        <v>14</v>
      </c>
      <c r="AQ149">
        <v>5</v>
      </c>
      <c r="AR149">
        <v>2</v>
      </c>
      <c r="AS149">
        <v>1</v>
      </c>
      <c r="BA149" t="s">
        <v>53</v>
      </c>
      <c r="BB149">
        <v>40</v>
      </c>
      <c r="BC149">
        <v>1</v>
      </c>
      <c r="BD149">
        <v>11</v>
      </c>
      <c r="BE149">
        <v>5</v>
      </c>
      <c r="BF149">
        <v>5</v>
      </c>
      <c r="BG149">
        <v>4</v>
      </c>
      <c r="BH149">
        <v>5</v>
      </c>
      <c r="BI149">
        <v>7</v>
      </c>
      <c r="BJ149">
        <v>6</v>
      </c>
      <c r="BK149">
        <v>6</v>
      </c>
      <c r="BL149">
        <v>6</v>
      </c>
      <c r="BM149">
        <v>7</v>
      </c>
      <c r="BN149">
        <v>5</v>
      </c>
      <c r="BO149">
        <v>7</v>
      </c>
      <c r="BP149">
        <v>9</v>
      </c>
      <c r="BQ149">
        <v>7</v>
      </c>
      <c r="BR149">
        <v>6</v>
      </c>
      <c r="BS149">
        <v>3</v>
      </c>
      <c r="BT149">
        <v>7</v>
      </c>
      <c r="BU149">
        <v>6</v>
      </c>
      <c r="BV149">
        <f t="shared" ref="BV149:BV180" si="15">SUM(BD149:BU149)</f>
        <v>112</v>
      </c>
      <c r="BX149" s="3" t="s">
        <v>42</v>
      </c>
      <c r="BY149">
        <v>2</v>
      </c>
      <c r="BZ149">
        <v>18</v>
      </c>
      <c r="CC149" s="3" t="s">
        <v>43</v>
      </c>
    </row>
    <row r="150" spans="38:82" x14ac:dyDescent="0.25">
      <c r="AL150" s="3" t="s">
        <v>45</v>
      </c>
      <c r="AM150">
        <v>0</v>
      </c>
      <c r="AN150">
        <v>0</v>
      </c>
      <c r="AO150">
        <v>0</v>
      </c>
      <c r="AP150">
        <v>5</v>
      </c>
      <c r="AQ150">
        <v>19</v>
      </c>
      <c r="AR150">
        <v>7</v>
      </c>
      <c r="AS150">
        <v>5</v>
      </c>
      <c r="BA150" t="s">
        <v>45</v>
      </c>
      <c r="BB150">
        <v>36</v>
      </c>
      <c r="BC150">
        <v>1</v>
      </c>
      <c r="BD150">
        <v>7</v>
      </c>
      <c r="BE150">
        <v>6</v>
      </c>
      <c r="BF150">
        <v>6</v>
      </c>
      <c r="BG150">
        <v>5</v>
      </c>
      <c r="BH150">
        <v>6</v>
      </c>
      <c r="BI150">
        <v>7</v>
      </c>
      <c r="BJ150">
        <v>5</v>
      </c>
      <c r="BK150">
        <v>9</v>
      </c>
      <c r="BL150">
        <v>6</v>
      </c>
      <c r="BM150">
        <v>6</v>
      </c>
      <c r="BN150">
        <v>4</v>
      </c>
      <c r="BO150">
        <v>6</v>
      </c>
      <c r="BP150">
        <v>8</v>
      </c>
      <c r="BQ150">
        <v>10</v>
      </c>
      <c r="BR150">
        <v>6</v>
      </c>
      <c r="BS150">
        <v>5</v>
      </c>
      <c r="BT150">
        <v>7</v>
      </c>
      <c r="BU150">
        <v>7</v>
      </c>
      <c r="BV150">
        <f t="shared" si="15"/>
        <v>116</v>
      </c>
      <c r="BX150" s="3" t="s">
        <v>40</v>
      </c>
      <c r="BY150">
        <v>-4</v>
      </c>
      <c r="BZ150">
        <v>4</v>
      </c>
      <c r="CC150" s="18" t="s">
        <v>65</v>
      </c>
      <c r="CD150">
        <v>1</v>
      </c>
    </row>
    <row r="151" spans="38:82" x14ac:dyDescent="0.25">
      <c r="AL151" s="3" t="s">
        <v>49</v>
      </c>
      <c r="AM151">
        <v>12</v>
      </c>
      <c r="AN151">
        <v>0</v>
      </c>
      <c r="AO151">
        <v>0</v>
      </c>
      <c r="AP151">
        <v>18</v>
      </c>
      <c r="AQ151">
        <v>6</v>
      </c>
      <c r="AR151">
        <v>0</v>
      </c>
      <c r="AS151">
        <v>0</v>
      </c>
      <c r="BA151" t="s">
        <v>52</v>
      </c>
      <c r="BB151">
        <v>30</v>
      </c>
      <c r="BC151">
        <v>1</v>
      </c>
      <c r="BD151">
        <v>9</v>
      </c>
      <c r="BE151">
        <v>6</v>
      </c>
      <c r="BF151">
        <v>7</v>
      </c>
      <c r="BG151">
        <v>6</v>
      </c>
      <c r="BH151">
        <v>6</v>
      </c>
      <c r="BI151">
        <v>7</v>
      </c>
      <c r="BJ151">
        <v>6</v>
      </c>
      <c r="BK151">
        <v>4</v>
      </c>
      <c r="BL151">
        <v>6</v>
      </c>
      <c r="BM151">
        <v>6</v>
      </c>
      <c r="BN151">
        <v>4</v>
      </c>
      <c r="BO151">
        <v>6</v>
      </c>
      <c r="BP151">
        <v>8</v>
      </c>
      <c r="BQ151">
        <v>7</v>
      </c>
      <c r="BR151">
        <v>6</v>
      </c>
      <c r="BS151">
        <v>3</v>
      </c>
      <c r="BT151">
        <v>8</v>
      </c>
      <c r="BU151">
        <v>6</v>
      </c>
      <c r="BV151">
        <f t="shared" si="15"/>
        <v>111</v>
      </c>
      <c r="BX151" s="3" t="s">
        <v>23</v>
      </c>
      <c r="BY151">
        <v>8</v>
      </c>
      <c r="BZ151">
        <v>26</v>
      </c>
      <c r="CC151" s="18" t="s">
        <v>67</v>
      </c>
      <c r="CD151">
        <v>12</v>
      </c>
    </row>
    <row r="152" spans="38:82" x14ac:dyDescent="0.25">
      <c r="AL152" s="3" t="s">
        <v>52</v>
      </c>
      <c r="AM152">
        <v>5</v>
      </c>
      <c r="AN152">
        <v>0</v>
      </c>
      <c r="AO152">
        <v>0</v>
      </c>
      <c r="AP152">
        <v>7</v>
      </c>
      <c r="AQ152">
        <v>10</v>
      </c>
      <c r="AR152">
        <v>8</v>
      </c>
      <c r="AS152">
        <v>6</v>
      </c>
      <c r="BA152" t="s">
        <v>44</v>
      </c>
      <c r="BB152">
        <v>30</v>
      </c>
      <c r="BC152">
        <v>1</v>
      </c>
      <c r="BD152">
        <v>9</v>
      </c>
      <c r="BE152">
        <v>6</v>
      </c>
      <c r="BF152">
        <v>5</v>
      </c>
      <c r="BG152">
        <v>3</v>
      </c>
      <c r="BH152">
        <v>5</v>
      </c>
      <c r="BI152">
        <v>6</v>
      </c>
      <c r="BJ152">
        <v>4</v>
      </c>
      <c r="BK152">
        <v>6</v>
      </c>
      <c r="BL152">
        <v>6</v>
      </c>
      <c r="BM152">
        <v>5</v>
      </c>
      <c r="BN152">
        <v>4</v>
      </c>
      <c r="BO152">
        <v>6</v>
      </c>
      <c r="BP152">
        <v>4</v>
      </c>
      <c r="BQ152">
        <v>5</v>
      </c>
      <c r="BR152">
        <v>8</v>
      </c>
      <c r="BS152">
        <v>3</v>
      </c>
      <c r="BT152">
        <v>6</v>
      </c>
      <c r="BU152">
        <v>6</v>
      </c>
      <c r="BV152">
        <f t="shared" si="15"/>
        <v>97</v>
      </c>
      <c r="BX152" s="3" t="s">
        <v>24</v>
      </c>
      <c r="BY152">
        <v>-4</v>
      </c>
      <c r="BZ152">
        <v>4</v>
      </c>
      <c r="CC152" s="18" t="s">
        <v>88</v>
      </c>
      <c r="CD152">
        <v>7</v>
      </c>
    </row>
    <row r="153" spans="38:82" x14ac:dyDescent="0.25">
      <c r="AL153" s="3" t="s">
        <v>41</v>
      </c>
      <c r="AM153">
        <v>13</v>
      </c>
      <c r="AN153">
        <v>2</v>
      </c>
      <c r="AO153">
        <v>0</v>
      </c>
      <c r="AP153">
        <v>14</v>
      </c>
      <c r="AQ153">
        <v>7</v>
      </c>
      <c r="AR153">
        <v>0</v>
      </c>
      <c r="AS153">
        <v>0</v>
      </c>
      <c r="BA153" t="s">
        <v>42</v>
      </c>
      <c r="BB153">
        <v>28</v>
      </c>
      <c r="BC153">
        <v>1</v>
      </c>
      <c r="BD153">
        <v>6</v>
      </c>
      <c r="BE153">
        <v>7</v>
      </c>
      <c r="BF153">
        <v>6</v>
      </c>
      <c r="BG153">
        <v>5</v>
      </c>
      <c r="BH153">
        <v>5</v>
      </c>
      <c r="BI153">
        <v>5</v>
      </c>
      <c r="BJ153">
        <v>4</v>
      </c>
      <c r="BK153">
        <v>5</v>
      </c>
      <c r="BL153">
        <v>6</v>
      </c>
      <c r="BM153">
        <v>7</v>
      </c>
      <c r="BN153">
        <v>5</v>
      </c>
      <c r="BO153">
        <v>5</v>
      </c>
      <c r="BP153">
        <v>4</v>
      </c>
      <c r="BQ153">
        <v>6</v>
      </c>
      <c r="BR153">
        <v>5</v>
      </c>
      <c r="BS153">
        <v>4</v>
      </c>
      <c r="BT153">
        <v>4</v>
      </c>
      <c r="BU153">
        <v>6</v>
      </c>
      <c r="BV153">
        <f t="shared" si="15"/>
        <v>95</v>
      </c>
      <c r="BX153" s="3" t="s">
        <v>51</v>
      </c>
      <c r="BY153">
        <v>-1</v>
      </c>
      <c r="BZ153">
        <v>12</v>
      </c>
      <c r="CC153" s="18" t="s">
        <v>64</v>
      </c>
      <c r="CD153">
        <v>0</v>
      </c>
    </row>
    <row r="154" spans="38:82" x14ac:dyDescent="0.25">
      <c r="AL154" s="3" t="s">
        <v>28</v>
      </c>
      <c r="AM154">
        <v>11</v>
      </c>
      <c r="AN154">
        <v>2</v>
      </c>
      <c r="AO154">
        <v>0</v>
      </c>
      <c r="AP154">
        <v>17</v>
      </c>
      <c r="AQ154">
        <v>4</v>
      </c>
      <c r="AR154">
        <v>1</v>
      </c>
      <c r="AS154">
        <v>1</v>
      </c>
      <c r="BA154" t="s">
        <v>30</v>
      </c>
      <c r="BB154">
        <v>27</v>
      </c>
      <c r="BC154">
        <v>1</v>
      </c>
      <c r="BD154">
        <v>10</v>
      </c>
      <c r="BE154">
        <v>5</v>
      </c>
      <c r="BF154">
        <v>5</v>
      </c>
      <c r="BG154">
        <v>5</v>
      </c>
      <c r="BH154">
        <v>5</v>
      </c>
      <c r="BI154">
        <v>4</v>
      </c>
      <c r="BJ154">
        <v>5</v>
      </c>
      <c r="BK154">
        <v>3</v>
      </c>
      <c r="BL154">
        <v>5</v>
      </c>
      <c r="BM154">
        <v>4</v>
      </c>
      <c r="BN154">
        <v>4</v>
      </c>
      <c r="BO154">
        <v>8</v>
      </c>
      <c r="BP154">
        <v>5</v>
      </c>
      <c r="BQ154">
        <v>7</v>
      </c>
      <c r="BR154">
        <v>5</v>
      </c>
      <c r="BS154">
        <v>3</v>
      </c>
      <c r="BT154">
        <v>5</v>
      </c>
      <c r="BU154">
        <v>7</v>
      </c>
      <c r="BV154">
        <f t="shared" si="15"/>
        <v>95</v>
      </c>
      <c r="BX154" s="3" t="s">
        <v>26</v>
      </c>
      <c r="BY154">
        <v>0</v>
      </c>
      <c r="BZ154">
        <v>14</v>
      </c>
      <c r="CC154" s="18" t="s">
        <v>66</v>
      </c>
      <c r="CD154">
        <v>9</v>
      </c>
    </row>
    <row r="155" spans="38:82" x14ac:dyDescent="0.25">
      <c r="AL155" s="3" t="s">
        <v>44</v>
      </c>
      <c r="AM155">
        <v>6</v>
      </c>
      <c r="AN155">
        <v>0</v>
      </c>
      <c r="AO155">
        <v>0</v>
      </c>
      <c r="AP155">
        <v>13</v>
      </c>
      <c r="AQ155">
        <v>13</v>
      </c>
      <c r="AR155">
        <v>2</v>
      </c>
      <c r="AS155">
        <v>2</v>
      </c>
      <c r="BA155" t="s">
        <v>27</v>
      </c>
      <c r="BB155">
        <v>26</v>
      </c>
      <c r="BC155">
        <v>1</v>
      </c>
      <c r="BD155">
        <v>6</v>
      </c>
      <c r="BE155">
        <v>5</v>
      </c>
      <c r="BF155">
        <v>5</v>
      </c>
      <c r="BG155">
        <v>6</v>
      </c>
      <c r="BH155">
        <v>4</v>
      </c>
      <c r="BI155">
        <v>6</v>
      </c>
      <c r="BJ155">
        <v>5</v>
      </c>
      <c r="BK155">
        <v>5</v>
      </c>
      <c r="BL155">
        <v>7</v>
      </c>
      <c r="BM155">
        <v>6</v>
      </c>
      <c r="BN155">
        <v>4</v>
      </c>
      <c r="BO155">
        <v>4</v>
      </c>
      <c r="BP155">
        <v>5</v>
      </c>
      <c r="BQ155">
        <v>6</v>
      </c>
      <c r="BR155">
        <v>7</v>
      </c>
      <c r="BS155">
        <v>6</v>
      </c>
      <c r="BT155">
        <v>6</v>
      </c>
      <c r="BU155">
        <v>7</v>
      </c>
      <c r="BV155">
        <f t="shared" si="15"/>
        <v>100</v>
      </c>
      <c r="BX155" s="3" t="s">
        <v>45</v>
      </c>
      <c r="BY155">
        <v>15</v>
      </c>
      <c r="BZ155">
        <v>29</v>
      </c>
      <c r="CC155" s="18" t="s">
        <v>89</v>
      </c>
      <c r="CD155">
        <v>3</v>
      </c>
    </row>
    <row r="156" spans="38:82" x14ac:dyDescent="0.25">
      <c r="AL156" s="3" t="s">
        <v>38</v>
      </c>
      <c r="AM156">
        <v>11</v>
      </c>
      <c r="AN156">
        <v>0</v>
      </c>
      <c r="AO156">
        <v>0</v>
      </c>
      <c r="AP156">
        <v>16</v>
      </c>
      <c r="AQ156">
        <v>5</v>
      </c>
      <c r="AR156">
        <v>2</v>
      </c>
      <c r="AS156">
        <v>2</v>
      </c>
      <c r="BA156" t="s">
        <v>50</v>
      </c>
      <c r="BB156">
        <v>25</v>
      </c>
      <c r="BC156">
        <v>1</v>
      </c>
      <c r="BD156">
        <v>6</v>
      </c>
      <c r="BE156">
        <v>6</v>
      </c>
      <c r="BF156">
        <v>4</v>
      </c>
      <c r="BG156">
        <v>4</v>
      </c>
      <c r="BH156">
        <v>4</v>
      </c>
      <c r="BI156">
        <v>6</v>
      </c>
      <c r="BJ156">
        <v>4</v>
      </c>
      <c r="BK156">
        <v>6</v>
      </c>
      <c r="BL156">
        <v>4</v>
      </c>
      <c r="BM156">
        <v>8</v>
      </c>
      <c r="BN156">
        <v>6</v>
      </c>
      <c r="BO156">
        <v>5</v>
      </c>
      <c r="BP156">
        <v>4</v>
      </c>
      <c r="BQ156">
        <v>6</v>
      </c>
      <c r="BR156">
        <v>6</v>
      </c>
      <c r="BS156">
        <v>3</v>
      </c>
      <c r="BT156">
        <v>5</v>
      </c>
      <c r="BU156">
        <v>7</v>
      </c>
      <c r="BV156">
        <f t="shared" si="15"/>
        <v>94</v>
      </c>
      <c r="BX156" s="3" t="s">
        <v>49</v>
      </c>
      <c r="BY156">
        <v>2</v>
      </c>
      <c r="BZ156">
        <v>18</v>
      </c>
      <c r="CC156" s="18" t="s">
        <v>69</v>
      </c>
      <c r="CD156">
        <v>4</v>
      </c>
    </row>
    <row r="157" spans="38:82" x14ac:dyDescent="0.25">
      <c r="AL157" s="3" t="s">
        <v>48</v>
      </c>
      <c r="AM157">
        <v>9</v>
      </c>
      <c r="AN157">
        <v>0</v>
      </c>
      <c r="AO157">
        <v>0</v>
      </c>
      <c r="AP157">
        <v>11</v>
      </c>
      <c r="AQ157">
        <v>14</v>
      </c>
      <c r="AR157">
        <v>2</v>
      </c>
      <c r="AS157">
        <v>0</v>
      </c>
      <c r="BA157" t="s">
        <v>43</v>
      </c>
      <c r="BB157">
        <v>23</v>
      </c>
      <c r="BC157">
        <v>1</v>
      </c>
      <c r="BD157">
        <v>7</v>
      </c>
      <c r="BE157">
        <v>5</v>
      </c>
      <c r="BF157">
        <v>4</v>
      </c>
      <c r="BG157">
        <v>6</v>
      </c>
      <c r="BH157">
        <v>11</v>
      </c>
      <c r="BI157">
        <v>7</v>
      </c>
      <c r="BJ157">
        <v>4</v>
      </c>
      <c r="BK157">
        <v>4</v>
      </c>
      <c r="BL157">
        <v>4</v>
      </c>
      <c r="BM157">
        <v>4</v>
      </c>
      <c r="BN157">
        <v>6</v>
      </c>
      <c r="BO157">
        <v>7</v>
      </c>
      <c r="BP157">
        <v>4</v>
      </c>
      <c r="BQ157">
        <v>6</v>
      </c>
      <c r="BR157">
        <v>6</v>
      </c>
      <c r="BS157">
        <v>3</v>
      </c>
      <c r="BT157">
        <v>6</v>
      </c>
      <c r="BU157">
        <v>5</v>
      </c>
      <c r="BV157">
        <f t="shared" si="15"/>
        <v>99</v>
      </c>
      <c r="BX157" s="3" t="s">
        <v>52</v>
      </c>
      <c r="BY157">
        <v>15</v>
      </c>
      <c r="BZ157">
        <v>29</v>
      </c>
      <c r="CC157" s="3" t="s">
        <v>46</v>
      </c>
    </row>
    <row r="158" spans="38:82" x14ac:dyDescent="0.25">
      <c r="AL158" s="3" t="s">
        <v>47</v>
      </c>
      <c r="AM158">
        <v>12</v>
      </c>
      <c r="AN158">
        <v>1</v>
      </c>
      <c r="AO158">
        <v>0</v>
      </c>
      <c r="AP158">
        <v>4</v>
      </c>
      <c r="AQ158">
        <v>0</v>
      </c>
      <c r="AR158">
        <v>1</v>
      </c>
      <c r="AS158">
        <v>0</v>
      </c>
      <c r="BA158" t="s">
        <v>23</v>
      </c>
      <c r="BB158">
        <v>22</v>
      </c>
      <c r="BC158">
        <v>1</v>
      </c>
      <c r="BD158">
        <v>9</v>
      </c>
      <c r="BE158">
        <v>6</v>
      </c>
      <c r="BF158">
        <v>4</v>
      </c>
      <c r="BG158">
        <v>4</v>
      </c>
      <c r="BH158">
        <v>4</v>
      </c>
      <c r="BI158">
        <v>6</v>
      </c>
      <c r="BJ158">
        <v>5</v>
      </c>
      <c r="BK158">
        <v>7</v>
      </c>
      <c r="BL158">
        <v>7</v>
      </c>
      <c r="BM158">
        <v>6</v>
      </c>
      <c r="BN158">
        <v>4</v>
      </c>
      <c r="BO158">
        <v>5</v>
      </c>
      <c r="BP158">
        <v>4</v>
      </c>
      <c r="BQ158">
        <v>8</v>
      </c>
      <c r="BR158">
        <v>5</v>
      </c>
      <c r="BS158">
        <v>4</v>
      </c>
      <c r="BT158">
        <v>6</v>
      </c>
      <c r="BU158">
        <v>7</v>
      </c>
      <c r="BV158">
        <f t="shared" si="15"/>
        <v>101</v>
      </c>
      <c r="BX158" s="3" t="s">
        <v>41</v>
      </c>
      <c r="BY158">
        <v>-2</v>
      </c>
      <c r="BZ158">
        <v>8</v>
      </c>
      <c r="CC158" s="18" t="s">
        <v>65</v>
      </c>
      <c r="CD158">
        <v>2</v>
      </c>
    </row>
    <row r="159" spans="38:82" x14ac:dyDescent="0.25">
      <c r="AL159" s="3" t="s">
        <v>37</v>
      </c>
      <c r="AM159">
        <v>7</v>
      </c>
      <c r="AN159">
        <v>1</v>
      </c>
      <c r="AO159">
        <v>0</v>
      </c>
      <c r="AP159">
        <v>21</v>
      </c>
      <c r="AQ159">
        <v>7</v>
      </c>
      <c r="AR159">
        <v>0</v>
      </c>
      <c r="AS159">
        <v>0</v>
      </c>
      <c r="BA159" t="s">
        <v>48</v>
      </c>
      <c r="BB159">
        <v>20</v>
      </c>
      <c r="BC159">
        <v>1</v>
      </c>
      <c r="BD159">
        <v>6</v>
      </c>
      <c r="BE159">
        <v>6</v>
      </c>
      <c r="BF159">
        <v>4</v>
      </c>
      <c r="BG159">
        <v>5</v>
      </c>
      <c r="BH159">
        <v>5</v>
      </c>
      <c r="BI159">
        <v>7</v>
      </c>
      <c r="BJ159">
        <v>5</v>
      </c>
      <c r="BK159">
        <v>6</v>
      </c>
      <c r="BL159">
        <v>4</v>
      </c>
      <c r="BM159">
        <v>5</v>
      </c>
      <c r="BN159">
        <v>4</v>
      </c>
      <c r="BO159">
        <v>5</v>
      </c>
      <c r="BP159">
        <v>5</v>
      </c>
      <c r="BQ159">
        <v>6</v>
      </c>
      <c r="BR159">
        <v>6</v>
      </c>
      <c r="BS159">
        <v>3</v>
      </c>
      <c r="BT159">
        <v>7</v>
      </c>
      <c r="BU159">
        <v>6</v>
      </c>
      <c r="BV159">
        <f t="shared" si="15"/>
        <v>95</v>
      </c>
      <c r="BX159" s="3" t="s">
        <v>28</v>
      </c>
      <c r="BY159">
        <v>-6</v>
      </c>
      <c r="BZ159">
        <v>2</v>
      </c>
      <c r="CC159" s="18" t="s">
        <v>67</v>
      </c>
      <c r="CD159">
        <v>13</v>
      </c>
    </row>
    <row r="160" spans="38:82" x14ac:dyDescent="0.25">
      <c r="AL160" s="3" t="s">
        <v>57</v>
      </c>
      <c r="AM160">
        <v>297</v>
      </c>
      <c r="AN160">
        <v>48</v>
      </c>
      <c r="AO160">
        <v>3</v>
      </c>
      <c r="AP160">
        <v>371</v>
      </c>
      <c r="AQ160">
        <v>237</v>
      </c>
      <c r="AR160">
        <v>81</v>
      </c>
      <c r="AS160">
        <v>43</v>
      </c>
      <c r="BA160" t="s">
        <v>25</v>
      </c>
      <c r="BB160">
        <v>20</v>
      </c>
      <c r="BC160">
        <v>1</v>
      </c>
      <c r="BD160">
        <v>5</v>
      </c>
      <c r="BE160">
        <v>7</v>
      </c>
      <c r="BF160">
        <v>6</v>
      </c>
      <c r="BG160">
        <v>3</v>
      </c>
      <c r="BH160">
        <v>4</v>
      </c>
      <c r="BI160">
        <v>8</v>
      </c>
      <c r="BJ160">
        <v>4</v>
      </c>
      <c r="BK160">
        <v>3</v>
      </c>
      <c r="BL160">
        <v>6</v>
      </c>
      <c r="BM160">
        <v>4</v>
      </c>
      <c r="BN160">
        <v>3</v>
      </c>
      <c r="BO160">
        <v>4</v>
      </c>
      <c r="BP160">
        <v>6</v>
      </c>
      <c r="BQ160">
        <v>6</v>
      </c>
      <c r="BR160">
        <v>5</v>
      </c>
      <c r="BS160">
        <v>4</v>
      </c>
      <c r="BT160">
        <v>6</v>
      </c>
      <c r="BU160">
        <v>5</v>
      </c>
      <c r="BV160">
        <f t="shared" si="15"/>
        <v>89</v>
      </c>
      <c r="BX160" s="3" t="s">
        <v>44</v>
      </c>
      <c r="BY160">
        <v>-7</v>
      </c>
      <c r="BZ160">
        <v>1</v>
      </c>
      <c r="CC160" s="18" t="s">
        <v>88</v>
      </c>
      <c r="CD160">
        <v>11</v>
      </c>
    </row>
    <row r="161" spans="53:82" x14ac:dyDescent="0.25">
      <c r="BA161" t="s">
        <v>46</v>
      </c>
      <c r="BB161">
        <v>18</v>
      </c>
      <c r="BC161">
        <v>1</v>
      </c>
      <c r="BD161">
        <v>6</v>
      </c>
      <c r="BE161">
        <v>8</v>
      </c>
      <c r="BF161">
        <v>5</v>
      </c>
      <c r="BG161">
        <v>5</v>
      </c>
      <c r="BH161">
        <v>4</v>
      </c>
      <c r="BI161">
        <v>6</v>
      </c>
      <c r="BJ161">
        <v>5</v>
      </c>
      <c r="BK161">
        <v>5</v>
      </c>
      <c r="BL161">
        <v>5</v>
      </c>
      <c r="BM161">
        <v>6</v>
      </c>
      <c r="BN161">
        <v>5</v>
      </c>
      <c r="BO161">
        <v>5</v>
      </c>
      <c r="BP161">
        <v>5</v>
      </c>
      <c r="BQ161">
        <v>7</v>
      </c>
      <c r="BR161">
        <v>6</v>
      </c>
      <c r="BS161">
        <v>3</v>
      </c>
      <c r="BT161">
        <v>6</v>
      </c>
      <c r="BU161">
        <v>7</v>
      </c>
      <c r="BV161">
        <f t="shared" si="15"/>
        <v>99</v>
      </c>
      <c r="BX161" s="3" t="s">
        <v>38</v>
      </c>
      <c r="BY161">
        <v>8</v>
      </c>
      <c r="BZ161">
        <v>26</v>
      </c>
      <c r="CC161" s="18" t="s">
        <v>64</v>
      </c>
      <c r="CD161">
        <v>0</v>
      </c>
    </row>
    <row r="162" spans="53:82" x14ac:dyDescent="0.25">
      <c r="BA162" t="s">
        <v>31</v>
      </c>
      <c r="BB162">
        <v>18</v>
      </c>
      <c r="BC162">
        <v>1</v>
      </c>
      <c r="BD162">
        <v>5</v>
      </c>
      <c r="BE162">
        <v>5</v>
      </c>
      <c r="BF162">
        <v>5</v>
      </c>
      <c r="BG162">
        <v>6</v>
      </c>
      <c r="BH162">
        <v>6</v>
      </c>
      <c r="BI162">
        <v>4</v>
      </c>
      <c r="BJ162">
        <v>6</v>
      </c>
      <c r="BK162">
        <v>5</v>
      </c>
      <c r="BL162">
        <v>7</v>
      </c>
      <c r="BM162">
        <v>4</v>
      </c>
      <c r="BN162">
        <v>3</v>
      </c>
      <c r="BO162">
        <v>6</v>
      </c>
      <c r="BP162">
        <v>4</v>
      </c>
      <c r="BQ162">
        <v>5</v>
      </c>
      <c r="BR162">
        <v>5</v>
      </c>
      <c r="BS162">
        <v>5</v>
      </c>
      <c r="BT162">
        <v>6</v>
      </c>
      <c r="BU162">
        <v>5</v>
      </c>
      <c r="BV162">
        <f t="shared" si="15"/>
        <v>92</v>
      </c>
      <c r="BX162" s="3" t="s">
        <v>48</v>
      </c>
      <c r="BY162">
        <v>5</v>
      </c>
      <c r="BZ162">
        <v>25</v>
      </c>
      <c r="CC162" s="18" t="s">
        <v>66</v>
      </c>
      <c r="CD162">
        <v>5</v>
      </c>
    </row>
    <row r="163" spans="53:82" x14ac:dyDescent="0.25">
      <c r="BA163" t="s">
        <v>22</v>
      </c>
      <c r="BB163">
        <v>18</v>
      </c>
      <c r="BC163">
        <v>1</v>
      </c>
      <c r="BD163">
        <v>5</v>
      </c>
      <c r="BE163">
        <v>4</v>
      </c>
      <c r="BF163">
        <v>5</v>
      </c>
      <c r="BG163">
        <v>4</v>
      </c>
      <c r="BH163">
        <v>5</v>
      </c>
      <c r="BI163">
        <v>7</v>
      </c>
      <c r="BJ163">
        <v>4</v>
      </c>
      <c r="BK163">
        <v>5</v>
      </c>
      <c r="BL163">
        <v>6</v>
      </c>
      <c r="BM163">
        <v>4</v>
      </c>
      <c r="BN163">
        <v>4</v>
      </c>
      <c r="BO163">
        <v>4</v>
      </c>
      <c r="BP163">
        <v>4</v>
      </c>
      <c r="BQ163">
        <v>7</v>
      </c>
      <c r="BR163">
        <v>5</v>
      </c>
      <c r="BS163">
        <v>4</v>
      </c>
      <c r="BT163">
        <v>4</v>
      </c>
      <c r="BU163">
        <v>6</v>
      </c>
      <c r="BV163">
        <f t="shared" si="15"/>
        <v>87</v>
      </c>
      <c r="BX163" s="3" t="s">
        <v>47</v>
      </c>
      <c r="BY163">
        <v>0</v>
      </c>
      <c r="BZ163">
        <v>14</v>
      </c>
      <c r="CC163" s="18" t="s">
        <v>89</v>
      </c>
      <c r="CD163">
        <v>3</v>
      </c>
    </row>
    <row r="164" spans="53:82" x14ac:dyDescent="0.25">
      <c r="BA164" t="s">
        <v>37</v>
      </c>
      <c r="BB164">
        <v>18</v>
      </c>
      <c r="BC164">
        <v>1</v>
      </c>
      <c r="BD164">
        <v>7</v>
      </c>
      <c r="BE164">
        <v>5</v>
      </c>
      <c r="BF164">
        <v>5</v>
      </c>
      <c r="BG164">
        <v>3</v>
      </c>
      <c r="BH164">
        <v>4</v>
      </c>
      <c r="BI164">
        <v>5</v>
      </c>
      <c r="BJ164">
        <v>4</v>
      </c>
      <c r="BK164">
        <v>5</v>
      </c>
      <c r="BL164">
        <v>5</v>
      </c>
      <c r="BM164">
        <v>5</v>
      </c>
      <c r="BN164">
        <v>3</v>
      </c>
      <c r="BO164">
        <v>5</v>
      </c>
      <c r="BP164">
        <v>5</v>
      </c>
      <c r="BQ164">
        <v>6</v>
      </c>
      <c r="BR164">
        <v>6</v>
      </c>
      <c r="BS164">
        <v>4</v>
      </c>
      <c r="BT164">
        <v>4</v>
      </c>
      <c r="BU164">
        <v>5</v>
      </c>
      <c r="BV164">
        <f t="shared" si="15"/>
        <v>86</v>
      </c>
      <c r="BX164" s="3" t="s">
        <v>37</v>
      </c>
      <c r="BY164">
        <v>-2</v>
      </c>
      <c r="BZ164">
        <v>8</v>
      </c>
      <c r="CC164" s="18" t="s">
        <v>69</v>
      </c>
      <c r="CD164">
        <v>2</v>
      </c>
    </row>
    <row r="165" spans="53:82" x14ac:dyDescent="0.25">
      <c r="BA165" t="s">
        <v>28</v>
      </c>
      <c r="BB165">
        <v>18</v>
      </c>
      <c r="BC165">
        <v>1</v>
      </c>
      <c r="BD165">
        <v>6</v>
      </c>
      <c r="BE165">
        <v>6</v>
      </c>
      <c r="BF165">
        <v>4</v>
      </c>
      <c r="BG165">
        <v>4</v>
      </c>
      <c r="BH165">
        <v>3</v>
      </c>
      <c r="BI165">
        <v>4</v>
      </c>
      <c r="BJ165">
        <v>4</v>
      </c>
      <c r="BK165">
        <v>5</v>
      </c>
      <c r="BL165">
        <v>5</v>
      </c>
      <c r="BM165">
        <v>5</v>
      </c>
      <c r="BN165">
        <v>3</v>
      </c>
      <c r="BO165">
        <v>4</v>
      </c>
      <c r="BP165">
        <v>4</v>
      </c>
      <c r="BQ165">
        <v>6</v>
      </c>
      <c r="BR165">
        <v>8</v>
      </c>
      <c r="BS165">
        <v>4</v>
      </c>
      <c r="BT165">
        <v>4</v>
      </c>
      <c r="BU165">
        <v>6</v>
      </c>
      <c r="BV165">
        <f t="shared" si="15"/>
        <v>85</v>
      </c>
      <c r="BX165" s="3" t="s">
        <v>57</v>
      </c>
      <c r="BY165">
        <v>69</v>
      </c>
      <c r="BZ165">
        <v>504</v>
      </c>
      <c r="CC165" s="3" t="s">
        <v>29</v>
      </c>
    </row>
    <row r="166" spans="53:82" x14ac:dyDescent="0.25">
      <c r="BA166" t="s">
        <v>38</v>
      </c>
      <c r="BB166">
        <v>16</v>
      </c>
      <c r="BC166">
        <v>1</v>
      </c>
      <c r="BD166">
        <v>5</v>
      </c>
      <c r="BE166">
        <v>6</v>
      </c>
      <c r="BF166">
        <v>7</v>
      </c>
      <c r="BG166">
        <v>3</v>
      </c>
      <c r="BH166">
        <v>6</v>
      </c>
      <c r="BI166">
        <v>5</v>
      </c>
      <c r="BJ166">
        <v>6</v>
      </c>
      <c r="BK166">
        <v>8</v>
      </c>
      <c r="BL166">
        <v>4</v>
      </c>
      <c r="BM166">
        <v>5</v>
      </c>
      <c r="BN166">
        <v>3</v>
      </c>
      <c r="BO166">
        <v>4</v>
      </c>
      <c r="BP166">
        <v>6</v>
      </c>
      <c r="BQ166">
        <v>5</v>
      </c>
      <c r="BR166">
        <v>5</v>
      </c>
      <c r="BS166">
        <v>3</v>
      </c>
      <c r="BT166">
        <v>6</v>
      </c>
      <c r="BU166">
        <v>5</v>
      </c>
      <c r="BV166">
        <f t="shared" si="15"/>
        <v>92</v>
      </c>
      <c r="CC166" s="18" t="s">
        <v>65</v>
      </c>
      <c r="CD166">
        <v>1</v>
      </c>
    </row>
    <row r="167" spans="53:82" x14ac:dyDescent="0.25">
      <c r="BA167" t="s">
        <v>26</v>
      </c>
      <c r="BB167">
        <v>16</v>
      </c>
      <c r="BC167">
        <v>1</v>
      </c>
      <c r="BD167">
        <v>7</v>
      </c>
      <c r="BE167">
        <v>5</v>
      </c>
      <c r="BF167">
        <v>5</v>
      </c>
      <c r="BG167">
        <v>4</v>
      </c>
      <c r="BH167">
        <v>5</v>
      </c>
      <c r="BI167">
        <v>3</v>
      </c>
      <c r="BJ167">
        <v>4</v>
      </c>
      <c r="BK167">
        <v>4</v>
      </c>
      <c r="BL167">
        <v>6</v>
      </c>
      <c r="BM167">
        <v>4</v>
      </c>
      <c r="BN167">
        <v>4</v>
      </c>
      <c r="BO167">
        <v>8</v>
      </c>
      <c r="BP167">
        <v>5</v>
      </c>
      <c r="BQ167">
        <v>6</v>
      </c>
      <c r="BR167">
        <v>5</v>
      </c>
      <c r="BS167">
        <v>3</v>
      </c>
      <c r="BT167">
        <v>6</v>
      </c>
      <c r="BU167">
        <v>4</v>
      </c>
      <c r="BV167">
        <f t="shared" si="15"/>
        <v>88</v>
      </c>
      <c r="CC167" s="18" t="s">
        <v>67</v>
      </c>
      <c r="CD167">
        <v>8</v>
      </c>
    </row>
    <row r="168" spans="53:82" x14ac:dyDescent="0.25">
      <c r="BA168" t="s">
        <v>39</v>
      </c>
      <c r="BB168">
        <v>16</v>
      </c>
      <c r="BC168">
        <f>1</f>
        <v>1</v>
      </c>
      <c r="BD168">
        <v>6</v>
      </c>
      <c r="BE168">
        <v>5</v>
      </c>
      <c r="BF168">
        <v>4</v>
      </c>
      <c r="BG168">
        <v>4</v>
      </c>
      <c r="BH168">
        <v>4</v>
      </c>
      <c r="BI168">
        <v>5</v>
      </c>
      <c r="BJ168">
        <v>6</v>
      </c>
      <c r="BK168">
        <v>4</v>
      </c>
      <c r="BL168">
        <v>6</v>
      </c>
      <c r="BM168">
        <v>6</v>
      </c>
      <c r="BN168">
        <v>4</v>
      </c>
      <c r="BO168">
        <v>3</v>
      </c>
      <c r="BP168">
        <v>4</v>
      </c>
      <c r="BQ168">
        <v>5</v>
      </c>
      <c r="BR168">
        <v>4</v>
      </c>
      <c r="BS168">
        <v>2</v>
      </c>
      <c r="BT168">
        <v>5</v>
      </c>
      <c r="BU168">
        <v>8</v>
      </c>
      <c r="BV168">
        <f t="shared" si="15"/>
        <v>85</v>
      </c>
      <c r="BX168" t="str">
        <f>CONCATENATE("Day 1 Average: ", AVERAGE(BV149:BV180))</f>
        <v>Day 1 Average: 91.0625</v>
      </c>
      <c r="CC168" s="18" t="s">
        <v>88</v>
      </c>
      <c r="CD168">
        <v>1</v>
      </c>
    </row>
    <row r="169" spans="53:82" x14ac:dyDescent="0.25">
      <c r="BA169" t="s">
        <v>35</v>
      </c>
      <c r="BB169">
        <v>15</v>
      </c>
      <c r="BC169">
        <v>1</v>
      </c>
      <c r="BD169">
        <v>5</v>
      </c>
      <c r="BE169">
        <v>6</v>
      </c>
      <c r="BF169">
        <v>4</v>
      </c>
      <c r="BG169">
        <v>4</v>
      </c>
      <c r="BH169">
        <v>5</v>
      </c>
      <c r="BI169">
        <v>4</v>
      </c>
      <c r="BJ169">
        <v>4</v>
      </c>
      <c r="BK169">
        <v>4</v>
      </c>
      <c r="BL169">
        <v>6</v>
      </c>
      <c r="BM169">
        <v>5</v>
      </c>
      <c r="BN169">
        <v>3</v>
      </c>
      <c r="BO169">
        <v>5</v>
      </c>
      <c r="BP169">
        <v>4</v>
      </c>
      <c r="BQ169">
        <v>9</v>
      </c>
      <c r="BR169">
        <v>5</v>
      </c>
      <c r="BS169">
        <v>4</v>
      </c>
      <c r="BT169">
        <v>7</v>
      </c>
      <c r="BU169">
        <v>6</v>
      </c>
      <c r="BV169">
        <f t="shared" si="15"/>
        <v>90</v>
      </c>
      <c r="BX169" t="str">
        <f>CONCATENATE("Day 2 Average: ",AVERAGE(BV181:BV208))</f>
        <v>Day 2 Average: 91.75</v>
      </c>
      <c r="CC169" s="18" t="s">
        <v>64</v>
      </c>
      <c r="CD169">
        <v>0</v>
      </c>
    </row>
    <row r="170" spans="53:82" x14ac:dyDescent="0.25">
      <c r="BA170" t="s">
        <v>51</v>
      </c>
      <c r="BB170">
        <v>15</v>
      </c>
      <c r="BC170">
        <v>1</v>
      </c>
      <c r="BD170">
        <v>4</v>
      </c>
      <c r="BE170">
        <v>4</v>
      </c>
      <c r="BF170">
        <v>5</v>
      </c>
      <c r="BG170">
        <v>3</v>
      </c>
      <c r="BH170">
        <v>6</v>
      </c>
      <c r="BI170">
        <v>3</v>
      </c>
      <c r="BJ170">
        <v>5</v>
      </c>
      <c r="BK170">
        <v>5</v>
      </c>
      <c r="BL170">
        <v>6</v>
      </c>
      <c r="BM170">
        <v>9</v>
      </c>
      <c r="BN170">
        <v>3</v>
      </c>
      <c r="BO170">
        <v>7</v>
      </c>
      <c r="BP170">
        <v>3</v>
      </c>
      <c r="BQ170">
        <v>5</v>
      </c>
      <c r="BR170">
        <v>6</v>
      </c>
      <c r="BS170">
        <v>3</v>
      </c>
      <c r="BT170">
        <v>5</v>
      </c>
      <c r="BU170">
        <v>6</v>
      </c>
      <c r="BV170">
        <f t="shared" si="15"/>
        <v>88</v>
      </c>
      <c r="CC170" s="18" t="s">
        <v>66</v>
      </c>
      <c r="CD170">
        <v>8</v>
      </c>
    </row>
    <row r="171" spans="53:82" x14ac:dyDescent="0.25">
      <c r="BA171" t="s">
        <v>36</v>
      </c>
      <c r="BB171">
        <v>14</v>
      </c>
      <c r="BC171">
        <v>1</v>
      </c>
      <c r="BD171">
        <v>5</v>
      </c>
      <c r="BE171">
        <v>6</v>
      </c>
      <c r="BF171">
        <v>5</v>
      </c>
      <c r="BG171">
        <v>4</v>
      </c>
      <c r="BH171">
        <v>4</v>
      </c>
      <c r="BI171">
        <v>4</v>
      </c>
      <c r="BJ171">
        <v>4</v>
      </c>
      <c r="BK171">
        <v>6</v>
      </c>
      <c r="BL171">
        <v>5</v>
      </c>
      <c r="BM171">
        <v>5</v>
      </c>
      <c r="BN171">
        <v>5</v>
      </c>
      <c r="BO171">
        <v>6</v>
      </c>
      <c r="BP171">
        <v>6</v>
      </c>
      <c r="BQ171">
        <v>4</v>
      </c>
      <c r="BR171">
        <v>4</v>
      </c>
      <c r="BS171">
        <v>4</v>
      </c>
      <c r="BT171">
        <v>4</v>
      </c>
      <c r="BU171">
        <v>5</v>
      </c>
      <c r="BV171">
        <f t="shared" si="15"/>
        <v>86</v>
      </c>
      <c r="CC171" s="18" t="s">
        <v>89</v>
      </c>
      <c r="CD171">
        <v>0</v>
      </c>
    </row>
    <row r="172" spans="53:82" x14ac:dyDescent="0.25">
      <c r="BA172" t="s">
        <v>41</v>
      </c>
      <c r="BB172">
        <v>14</v>
      </c>
      <c r="BC172">
        <v>1</v>
      </c>
      <c r="BD172">
        <v>5</v>
      </c>
      <c r="BE172">
        <v>4</v>
      </c>
      <c r="BF172">
        <v>3</v>
      </c>
      <c r="BG172">
        <v>4</v>
      </c>
      <c r="BH172">
        <v>6</v>
      </c>
      <c r="BI172">
        <v>5</v>
      </c>
      <c r="BJ172">
        <v>4</v>
      </c>
      <c r="BK172">
        <v>5</v>
      </c>
      <c r="BL172">
        <v>5</v>
      </c>
      <c r="BM172">
        <v>6</v>
      </c>
      <c r="BN172">
        <v>4</v>
      </c>
      <c r="BO172">
        <v>6</v>
      </c>
      <c r="BP172">
        <v>5</v>
      </c>
      <c r="BQ172">
        <v>6</v>
      </c>
      <c r="BR172">
        <v>4</v>
      </c>
      <c r="BS172">
        <v>3</v>
      </c>
      <c r="BT172">
        <v>6</v>
      </c>
      <c r="BU172">
        <v>5</v>
      </c>
      <c r="BV172">
        <f t="shared" si="15"/>
        <v>86</v>
      </c>
      <c r="CC172" s="18" t="s">
        <v>69</v>
      </c>
      <c r="CD172">
        <v>0</v>
      </c>
    </row>
    <row r="173" spans="53:82" x14ac:dyDescent="0.25">
      <c r="BA173" t="s">
        <v>49</v>
      </c>
      <c r="BB173">
        <v>14</v>
      </c>
      <c r="BC173">
        <v>1</v>
      </c>
      <c r="BD173">
        <v>6</v>
      </c>
      <c r="BE173">
        <v>4</v>
      </c>
      <c r="BF173">
        <v>4</v>
      </c>
      <c r="BG173">
        <v>4</v>
      </c>
      <c r="BH173">
        <v>5</v>
      </c>
      <c r="BI173">
        <v>5</v>
      </c>
      <c r="BJ173">
        <v>4</v>
      </c>
      <c r="BK173">
        <v>4</v>
      </c>
      <c r="BL173">
        <v>6</v>
      </c>
      <c r="BM173">
        <v>5</v>
      </c>
      <c r="BN173">
        <v>4</v>
      </c>
      <c r="BO173">
        <v>4</v>
      </c>
      <c r="BP173">
        <v>5</v>
      </c>
      <c r="BQ173">
        <v>5</v>
      </c>
      <c r="BR173">
        <v>5</v>
      </c>
      <c r="BS173">
        <v>3</v>
      </c>
      <c r="BT173">
        <v>4</v>
      </c>
      <c r="BU173">
        <v>5</v>
      </c>
      <c r="BV173">
        <f t="shared" si="15"/>
        <v>82</v>
      </c>
      <c r="CC173" s="3" t="s">
        <v>27</v>
      </c>
    </row>
    <row r="174" spans="53:82" x14ac:dyDescent="0.25">
      <c r="BA174" t="s">
        <v>34</v>
      </c>
      <c r="BB174">
        <v>12</v>
      </c>
      <c r="BC174">
        <v>1</v>
      </c>
      <c r="BD174">
        <v>5</v>
      </c>
      <c r="BE174">
        <v>4</v>
      </c>
      <c r="BF174">
        <v>6</v>
      </c>
      <c r="BG174">
        <v>4</v>
      </c>
      <c r="BH174">
        <v>6</v>
      </c>
      <c r="BI174">
        <v>6</v>
      </c>
      <c r="BJ174">
        <v>4</v>
      </c>
      <c r="BK174">
        <v>4</v>
      </c>
      <c r="BL174">
        <v>3</v>
      </c>
      <c r="BM174">
        <v>8</v>
      </c>
      <c r="BN174">
        <v>5</v>
      </c>
      <c r="BO174">
        <v>6</v>
      </c>
      <c r="BP174">
        <v>6</v>
      </c>
      <c r="BQ174">
        <v>10</v>
      </c>
      <c r="BR174">
        <v>5</v>
      </c>
      <c r="BS174">
        <v>2</v>
      </c>
      <c r="BT174">
        <v>5</v>
      </c>
      <c r="BU174">
        <v>8</v>
      </c>
      <c r="BV174">
        <f t="shared" si="15"/>
        <v>97</v>
      </c>
      <c r="CC174" s="18" t="s">
        <v>65</v>
      </c>
      <c r="CD174">
        <v>2</v>
      </c>
    </row>
    <row r="175" spans="53:82" x14ac:dyDescent="0.25">
      <c r="BA175" t="s">
        <v>29</v>
      </c>
      <c r="BB175">
        <v>10</v>
      </c>
      <c r="BC175">
        <v>1</v>
      </c>
      <c r="BD175">
        <v>4</v>
      </c>
      <c r="BE175">
        <v>5</v>
      </c>
      <c r="BF175">
        <v>4</v>
      </c>
      <c r="BG175">
        <v>3</v>
      </c>
      <c r="BH175">
        <v>5</v>
      </c>
      <c r="BI175">
        <v>5</v>
      </c>
      <c r="BJ175">
        <v>3</v>
      </c>
      <c r="BK175">
        <v>5</v>
      </c>
      <c r="BL175">
        <v>4</v>
      </c>
      <c r="BM175">
        <v>5</v>
      </c>
      <c r="BN175">
        <v>4</v>
      </c>
      <c r="BO175">
        <v>4</v>
      </c>
      <c r="BP175">
        <v>6</v>
      </c>
      <c r="BQ175">
        <v>5</v>
      </c>
      <c r="BR175">
        <v>5</v>
      </c>
      <c r="BS175">
        <v>3</v>
      </c>
      <c r="BT175">
        <v>5</v>
      </c>
      <c r="BU175">
        <v>5</v>
      </c>
      <c r="BV175">
        <f t="shared" si="15"/>
        <v>80</v>
      </c>
      <c r="CC175" s="18" t="s">
        <v>67</v>
      </c>
      <c r="CD175">
        <v>15</v>
      </c>
    </row>
    <row r="176" spans="53:82" x14ac:dyDescent="0.25">
      <c r="BA176" t="s">
        <v>24</v>
      </c>
      <c r="BB176">
        <v>8</v>
      </c>
      <c r="BC176">
        <v>1</v>
      </c>
      <c r="BD176">
        <v>5</v>
      </c>
      <c r="BE176">
        <v>4</v>
      </c>
      <c r="BF176">
        <v>5</v>
      </c>
      <c r="BG176">
        <v>4</v>
      </c>
      <c r="BH176">
        <v>3</v>
      </c>
      <c r="BI176">
        <v>4</v>
      </c>
      <c r="BJ176">
        <v>3</v>
      </c>
      <c r="BK176">
        <v>4</v>
      </c>
      <c r="BL176">
        <v>5</v>
      </c>
      <c r="BM176">
        <v>4</v>
      </c>
      <c r="BN176">
        <v>3</v>
      </c>
      <c r="BO176">
        <v>5</v>
      </c>
      <c r="BP176">
        <v>3</v>
      </c>
      <c r="BQ176">
        <v>6</v>
      </c>
      <c r="BR176">
        <v>4</v>
      </c>
      <c r="BS176">
        <v>4</v>
      </c>
      <c r="BT176">
        <v>4</v>
      </c>
      <c r="BU176">
        <v>5</v>
      </c>
      <c r="BV176">
        <f t="shared" si="15"/>
        <v>75</v>
      </c>
      <c r="CC176" s="18" t="s">
        <v>88</v>
      </c>
      <c r="CD176">
        <v>8</v>
      </c>
    </row>
    <row r="177" spans="53:82" x14ac:dyDescent="0.25">
      <c r="BA177" t="s">
        <v>40</v>
      </c>
      <c r="BB177">
        <v>7</v>
      </c>
      <c r="BC177">
        <v>1</v>
      </c>
      <c r="BD177">
        <v>5</v>
      </c>
      <c r="BE177">
        <v>4</v>
      </c>
      <c r="BF177">
        <v>4</v>
      </c>
      <c r="BG177">
        <v>3</v>
      </c>
      <c r="BH177">
        <v>4</v>
      </c>
      <c r="BI177">
        <v>7</v>
      </c>
      <c r="BJ177">
        <v>4</v>
      </c>
      <c r="BK177">
        <v>3</v>
      </c>
      <c r="BL177">
        <v>4</v>
      </c>
      <c r="BM177">
        <v>6</v>
      </c>
      <c r="BN177">
        <v>3</v>
      </c>
      <c r="BO177">
        <v>4</v>
      </c>
      <c r="BP177">
        <v>5</v>
      </c>
      <c r="BQ177">
        <v>4</v>
      </c>
      <c r="BR177">
        <v>4</v>
      </c>
      <c r="BS177">
        <v>3</v>
      </c>
      <c r="BT177">
        <v>5</v>
      </c>
      <c r="BU177">
        <v>5</v>
      </c>
      <c r="BV177">
        <f t="shared" si="15"/>
        <v>77</v>
      </c>
      <c r="CC177" s="18" t="s">
        <v>64</v>
      </c>
      <c r="CD177">
        <v>0</v>
      </c>
    </row>
    <row r="178" spans="53:82" x14ac:dyDescent="0.25">
      <c r="BA178" t="s">
        <v>33</v>
      </c>
      <c r="BB178">
        <v>6</v>
      </c>
      <c r="BC178">
        <v>1</v>
      </c>
      <c r="BD178">
        <v>6</v>
      </c>
      <c r="BE178">
        <v>3</v>
      </c>
      <c r="BF178">
        <v>5</v>
      </c>
      <c r="BG178">
        <v>3</v>
      </c>
      <c r="BH178">
        <v>5</v>
      </c>
      <c r="BI178">
        <v>5</v>
      </c>
      <c r="BJ178">
        <v>3</v>
      </c>
      <c r="BK178">
        <v>4</v>
      </c>
      <c r="BL178">
        <v>5</v>
      </c>
      <c r="BM178">
        <v>5</v>
      </c>
      <c r="BN178">
        <v>3</v>
      </c>
      <c r="BO178">
        <v>6</v>
      </c>
      <c r="BP178">
        <v>6</v>
      </c>
      <c r="BQ178">
        <v>6</v>
      </c>
      <c r="BR178">
        <v>4</v>
      </c>
      <c r="BS178">
        <v>3</v>
      </c>
      <c r="BT178">
        <v>3</v>
      </c>
      <c r="BU178">
        <v>5</v>
      </c>
      <c r="BV178">
        <f t="shared" si="15"/>
        <v>80</v>
      </c>
      <c r="CC178" s="18" t="s">
        <v>66</v>
      </c>
      <c r="CD178">
        <v>4</v>
      </c>
    </row>
    <row r="179" spans="53:82" x14ac:dyDescent="0.25">
      <c r="BA179" t="s">
        <v>32</v>
      </c>
      <c r="BB179">
        <v>6</v>
      </c>
      <c r="BC179">
        <v>1</v>
      </c>
      <c r="BD179">
        <v>6</v>
      </c>
      <c r="BE179">
        <v>4</v>
      </c>
      <c r="BF179">
        <v>5</v>
      </c>
      <c r="BG179">
        <v>3</v>
      </c>
      <c r="BH179">
        <v>4</v>
      </c>
      <c r="BI179">
        <v>5</v>
      </c>
      <c r="BJ179">
        <v>4</v>
      </c>
      <c r="BK179">
        <v>4</v>
      </c>
      <c r="BL179">
        <v>4</v>
      </c>
      <c r="BM179">
        <v>5</v>
      </c>
      <c r="BN179">
        <v>6</v>
      </c>
      <c r="BO179">
        <v>3</v>
      </c>
      <c r="BP179">
        <v>5</v>
      </c>
      <c r="BQ179">
        <v>4</v>
      </c>
      <c r="BR179">
        <v>5</v>
      </c>
      <c r="BS179">
        <v>4</v>
      </c>
      <c r="BT179">
        <v>3</v>
      </c>
      <c r="BU179">
        <v>4</v>
      </c>
      <c r="BV179">
        <f t="shared" si="15"/>
        <v>78</v>
      </c>
      <c r="CC179" s="18" t="s">
        <v>89</v>
      </c>
      <c r="CD179">
        <v>0</v>
      </c>
    </row>
    <row r="180" spans="53:82" x14ac:dyDescent="0.25">
      <c r="BA180" t="s">
        <v>47</v>
      </c>
      <c r="BB180">
        <v>6</v>
      </c>
      <c r="BC180">
        <v>1</v>
      </c>
      <c r="BD180">
        <v>5</v>
      </c>
      <c r="BE180">
        <v>4</v>
      </c>
      <c r="BF180">
        <v>5</v>
      </c>
      <c r="BG180">
        <v>4</v>
      </c>
      <c r="BH180">
        <v>4</v>
      </c>
      <c r="BI180">
        <v>5</v>
      </c>
      <c r="BJ180">
        <v>3</v>
      </c>
      <c r="BK180">
        <v>4</v>
      </c>
      <c r="BL180">
        <v>5</v>
      </c>
      <c r="BM180">
        <v>7</v>
      </c>
      <c r="BN180">
        <v>3</v>
      </c>
      <c r="BO180">
        <v>4</v>
      </c>
      <c r="BP180">
        <v>4</v>
      </c>
      <c r="BQ180">
        <v>4</v>
      </c>
      <c r="BR180">
        <v>4</v>
      </c>
      <c r="BS180">
        <v>4</v>
      </c>
      <c r="BT180">
        <v>4</v>
      </c>
      <c r="BU180">
        <v>4</v>
      </c>
      <c r="BV180">
        <f t="shared" si="15"/>
        <v>77</v>
      </c>
      <c r="CC180" s="18" t="s">
        <v>69</v>
      </c>
      <c r="CD180">
        <v>7</v>
      </c>
    </row>
    <row r="181" spans="53:82" x14ac:dyDescent="0.25">
      <c r="BA181" t="s">
        <v>53</v>
      </c>
      <c r="BB181">
        <v>40</v>
      </c>
      <c r="BC181">
        <v>2</v>
      </c>
      <c r="BD181">
        <v>7</v>
      </c>
      <c r="BE181">
        <v>7</v>
      </c>
      <c r="BF181">
        <v>6</v>
      </c>
      <c r="BG181">
        <v>5</v>
      </c>
      <c r="BH181">
        <v>6</v>
      </c>
      <c r="BI181">
        <v>6</v>
      </c>
      <c r="BJ181">
        <v>4</v>
      </c>
      <c r="BK181">
        <v>4</v>
      </c>
      <c r="BL181">
        <v>7</v>
      </c>
      <c r="BM181">
        <v>8</v>
      </c>
      <c r="BN181">
        <v>3</v>
      </c>
      <c r="BO181">
        <v>6</v>
      </c>
      <c r="BP181">
        <v>6</v>
      </c>
      <c r="BQ181">
        <v>7</v>
      </c>
      <c r="BR181">
        <v>7</v>
      </c>
      <c r="BS181">
        <v>3</v>
      </c>
      <c r="BT181">
        <v>7</v>
      </c>
      <c r="BU181">
        <v>7</v>
      </c>
      <c r="BV181">
        <f t="shared" ref="BV181:BV212" si="16">SUM(BD181:BU181)</f>
        <v>106</v>
      </c>
      <c r="CC181" s="3" t="s">
        <v>32</v>
      </c>
    </row>
    <row r="182" spans="53:82" x14ac:dyDescent="0.25">
      <c r="BA182" t="s">
        <v>45</v>
      </c>
      <c r="BB182">
        <v>36</v>
      </c>
      <c r="BC182">
        <v>2</v>
      </c>
      <c r="BD182">
        <v>6</v>
      </c>
      <c r="BE182">
        <v>7</v>
      </c>
      <c r="BF182">
        <v>6</v>
      </c>
      <c r="BG182">
        <v>4</v>
      </c>
      <c r="BH182">
        <v>5</v>
      </c>
      <c r="BI182">
        <v>7</v>
      </c>
      <c r="BJ182">
        <v>5</v>
      </c>
      <c r="BK182">
        <v>7</v>
      </c>
      <c r="BL182">
        <v>5</v>
      </c>
      <c r="BM182">
        <v>7</v>
      </c>
      <c r="BN182">
        <v>5</v>
      </c>
      <c r="BO182">
        <v>6</v>
      </c>
      <c r="BP182">
        <v>8</v>
      </c>
      <c r="BQ182">
        <v>8</v>
      </c>
      <c r="BR182">
        <v>9</v>
      </c>
      <c r="BS182">
        <v>5</v>
      </c>
      <c r="BT182">
        <v>7</v>
      </c>
      <c r="BU182">
        <v>6</v>
      </c>
      <c r="BV182">
        <f t="shared" si="16"/>
        <v>113</v>
      </c>
      <c r="CC182" s="18" t="s">
        <v>65</v>
      </c>
      <c r="CD182">
        <v>5</v>
      </c>
    </row>
    <row r="183" spans="53:82" x14ac:dyDescent="0.25">
      <c r="BA183" t="s">
        <v>52</v>
      </c>
      <c r="BB183">
        <v>30</v>
      </c>
      <c r="BC183">
        <v>2</v>
      </c>
      <c r="BD183">
        <v>6</v>
      </c>
      <c r="BE183">
        <v>8</v>
      </c>
      <c r="BF183">
        <v>5</v>
      </c>
      <c r="BG183">
        <v>3</v>
      </c>
      <c r="BH183">
        <v>8</v>
      </c>
      <c r="BI183">
        <v>8</v>
      </c>
      <c r="BJ183">
        <v>4</v>
      </c>
      <c r="BK183">
        <v>4</v>
      </c>
      <c r="BL183">
        <v>5</v>
      </c>
      <c r="BM183">
        <v>7</v>
      </c>
      <c r="BN183">
        <v>4</v>
      </c>
      <c r="BO183">
        <v>7</v>
      </c>
      <c r="BP183">
        <v>7</v>
      </c>
      <c r="BQ183">
        <v>6</v>
      </c>
      <c r="BR183">
        <v>7</v>
      </c>
      <c r="BS183">
        <v>3</v>
      </c>
      <c r="BT183">
        <v>8</v>
      </c>
      <c r="BU183">
        <v>6</v>
      </c>
      <c r="BV183">
        <f t="shared" si="16"/>
        <v>106</v>
      </c>
      <c r="CC183" s="18" t="s">
        <v>67</v>
      </c>
      <c r="CD183">
        <v>13</v>
      </c>
    </row>
    <row r="184" spans="53:82" x14ac:dyDescent="0.25">
      <c r="BA184" t="s">
        <v>44</v>
      </c>
      <c r="BB184">
        <v>30</v>
      </c>
      <c r="BC184">
        <v>2</v>
      </c>
      <c r="BD184">
        <v>6</v>
      </c>
      <c r="BE184">
        <v>7</v>
      </c>
      <c r="BF184">
        <v>6</v>
      </c>
      <c r="BG184">
        <v>5</v>
      </c>
      <c r="BH184">
        <v>6</v>
      </c>
      <c r="BI184">
        <v>5</v>
      </c>
      <c r="BJ184">
        <v>4</v>
      </c>
      <c r="BK184">
        <v>5</v>
      </c>
      <c r="BL184">
        <v>6</v>
      </c>
      <c r="BM184">
        <v>6</v>
      </c>
      <c r="BN184">
        <v>4</v>
      </c>
      <c r="BO184">
        <v>5</v>
      </c>
      <c r="BP184">
        <v>5</v>
      </c>
      <c r="BQ184">
        <v>7</v>
      </c>
      <c r="BR184">
        <v>5</v>
      </c>
      <c r="BS184">
        <v>3</v>
      </c>
      <c r="BT184">
        <v>7</v>
      </c>
      <c r="BU184">
        <v>6</v>
      </c>
      <c r="BV184">
        <f t="shared" si="16"/>
        <v>98</v>
      </c>
      <c r="CC184" s="18" t="s">
        <v>88</v>
      </c>
      <c r="CD184">
        <v>2</v>
      </c>
    </row>
    <row r="185" spans="53:82" x14ac:dyDescent="0.25">
      <c r="BA185" t="s">
        <v>42</v>
      </c>
      <c r="BB185">
        <v>28</v>
      </c>
      <c r="BC185">
        <v>2</v>
      </c>
      <c r="BD185">
        <v>8</v>
      </c>
      <c r="BE185">
        <v>8</v>
      </c>
      <c r="BF185">
        <v>4</v>
      </c>
      <c r="BG185">
        <v>3</v>
      </c>
      <c r="BH185">
        <v>6</v>
      </c>
      <c r="BI185">
        <v>6</v>
      </c>
      <c r="BJ185">
        <v>3</v>
      </c>
      <c r="BK185">
        <v>6</v>
      </c>
      <c r="BL185">
        <v>5</v>
      </c>
      <c r="BM185">
        <v>6</v>
      </c>
      <c r="BN185">
        <v>5</v>
      </c>
      <c r="BO185">
        <v>6</v>
      </c>
      <c r="BP185">
        <v>8</v>
      </c>
      <c r="BQ185">
        <v>7</v>
      </c>
      <c r="BR185">
        <v>4</v>
      </c>
      <c r="BS185">
        <v>5</v>
      </c>
      <c r="BT185">
        <v>7</v>
      </c>
      <c r="BU185">
        <v>8</v>
      </c>
      <c r="BV185">
        <f t="shared" si="16"/>
        <v>105</v>
      </c>
      <c r="CC185" s="18" t="s">
        <v>64</v>
      </c>
      <c r="CD185">
        <v>0</v>
      </c>
    </row>
    <row r="186" spans="53:82" x14ac:dyDescent="0.25">
      <c r="BA186" t="s">
        <v>30</v>
      </c>
      <c r="BB186">
        <v>27</v>
      </c>
      <c r="BC186">
        <v>2</v>
      </c>
      <c r="BD186">
        <v>7</v>
      </c>
      <c r="BE186">
        <v>5</v>
      </c>
      <c r="BF186">
        <v>5</v>
      </c>
      <c r="BG186">
        <v>5</v>
      </c>
      <c r="BH186">
        <v>6</v>
      </c>
      <c r="BI186">
        <v>7</v>
      </c>
      <c r="BJ186">
        <v>5</v>
      </c>
      <c r="BK186">
        <v>6</v>
      </c>
      <c r="BL186">
        <v>4</v>
      </c>
      <c r="BM186">
        <v>5</v>
      </c>
      <c r="BN186">
        <v>6</v>
      </c>
      <c r="BO186">
        <v>4</v>
      </c>
      <c r="BP186">
        <v>5</v>
      </c>
      <c r="BQ186">
        <v>4</v>
      </c>
      <c r="BR186">
        <v>7</v>
      </c>
      <c r="BS186">
        <v>3</v>
      </c>
      <c r="BT186">
        <v>6</v>
      </c>
      <c r="BU186">
        <v>6</v>
      </c>
      <c r="BV186">
        <f t="shared" si="16"/>
        <v>96</v>
      </c>
      <c r="CC186" s="18" t="s">
        <v>66</v>
      </c>
      <c r="CD186">
        <v>15</v>
      </c>
    </row>
    <row r="187" spans="53:82" x14ac:dyDescent="0.25">
      <c r="BA187" t="s">
        <v>27</v>
      </c>
      <c r="BB187">
        <v>26</v>
      </c>
      <c r="BC187">
        <v>2</v>
      </c>
      <c r="BD187">
        <v>6</v>
      </c>
      <c r="BE187">
        <v>7</v>
      </c>
      <c r="BF187">
        <v>5</v>
      </c>
      <c r="BG187">
        <v>4</v>
      </c>
      <c r="BH187">
        <v>5</v>
      </c>
      <c r="BI187">
        <v>4</v>
      </c>
      <c r="BJ187">
        <v>5</v>
      </c>
      <c r="BK187">
        <v>6</v>
      </c>
      <c r="BL187">
        <v>6</v>
      </c>
      <c r="BM187">
        <v>6</v>
      </c>
      <c r="BN187">
        <v>6</v>
      </c>
      <c r="BO187">
        <v>3</v>
      </c>
      <c r="BP187">
        <v>5</v>
      </c>
      <c r="BQ187">
        <v>5</v>
      </c>
      <c r="BR187">
        <v>5</v>
      </c>
      <c r="BS187">
        <v>3</v>
      </c>
      <c r="BT187">
        <v>5</v>
      </c>
      <c r="BU187">
        <v>6</v>
      </c>
      <c r="BV187">
        <f t="shared" si="16"/>
        <v>92</v>
      </c>
      <c r="CC187" s="18" t="s">
        <v>89</v>
      </c>
      <c r="CD187">
        <v>0</v>
      </c>
    </row>
    <row r="188" spans="53:82" x14ac:dyDescent="0.25">
      <c r="BA188" t="s">
        <v>50</v>
      </c>
      <c r="BB188">
        <v>25</v>
      </c>
      <c r="BC188">
        <v>2</v>
      </c>
      <c r="BD188">
        <v>6</v>
      </c>
      <c r="BE188">
        <v>5</v>
      </c>
      <c r="BF188">
        <v>4</v>
      </c>
      <c r="BG188">
        <v>4</v>
      </c>
      <c r="BH188">
        <v>7</v>
      </c>
      <c r="BI188">
        <v>4</v>
      </c>
      <c r="BJ188">
        <v>5</v>
      </c>
      <c r="BK188">
        <v>6</v>
      </c>
      <c r="BL188">
        <v>7</v>
      </c>
      <c r="BM188">
        <v>6</v>
      </c>
      <c r="BN188">
        <v>6</v>
      </c>
      <c r="BO188">
        <v>5</v>
      </c>
      <c r="BP188">
        <v>4</v>
      </c>
      <c r="BQ188">
        <v>6</v>
      </c>
      <c r="BR188">
        <v>6</v>
      </c>
      <c r="BS188">
        <v>3</v>
      </c>
      <c r="BT188">
        <v>4</v>
      </c>
      <c r="BU188">
        <v>7</v>
      </c>
      <c r="BV188">
        <f t="shared" si="16"/>
        <v>95</v>
      </c>
      <c r="CC188" s="18" t="s">
        <v>69</v>
      </c>
      <c r="CD188">
        <v>1</v>
      </c>
    </row>
    <row r="189" spans="53:82" x14ac:dyDescent="0.25">
      <c r="BA189" t="s">
        <v>43</v>
      </c>
      <c r="BB189">
        <v>23</v>
      </c>
      <c r="BC189">
        <v>2</v>
      </c>
      <c r="BD189">
        <v>6</v>
      </c>
      <c r="BE189">
        <v>5</v>
      </c>
      <c r="BF189">
        <v>5</v>
      </c>
      <c r="BG189">
        <v>5</v>
      </c>
      <c r="BH189">
        <v>7</v>
      </c>
      <c r="BI189">
        <v>4</v>
      </c>
      <c r="BJ189">
        <v>4</v>
      </c>
      <c r="BK189">
        <v>4</v>
      </c>
      <c r="BL189">
        <v>8</v>
      </c>
      <c r="BM189">
        <v>10</v>
      </c>
      <c r="BN189">
        <v>4</v>
      </c>
      <c r="BO189">
        <v>4</v>
      </c>
      <c r="BP189">
        <v>5</v>
      </c>
      <c r="BQ189">
        <v>7</v>
      </c>
      <c r="BR189">
        <v>5</v>
      </c>
      <c r="BS189">
        <v>3</v>
      </c>
      <c r="BT189">
        <v>5</v>
      </c>
      <c r="BU189">
        <v>6</v>
      </c>
      <c r="BV189">
        <f t="shared" si="16"/>
        <v>97</v>
      </c>
      <c r="CC189" s="3" t="s">
        <v>53</v>
      </c>
    </row>
    <row r="190" spans="53:82" x14ac:dyDescent="0.25">
      <c r="BA190" t="s">
        <v>23</v>
      </c>
      <c r="BB190">
        <v>22</v>
      </c>
      <c r="BC190">
        <v>2</v>
      </c>
      <c r="BD190">
        <v>6</v>
      </c>
      <c r="BE190">
        <v>6</v>
      </c>
      <c r="BF190">
        <v>5</v>
      </c>
      <c r="BG190">
        <v>2</v>
      </c>
      <c r="BH190">
        <v>5</v>
      </c>
      <c r="BI190">
        <v>6</v>
      </c>
      <c r="BJ190">
        <v>5</v>
      </c>
      <c r="BK190">
        <v>4</v>
      </c>
      <c r="BL190">
        <v>5</v>
      </c>
      <c r="BM190">
        <v>10</v>
      </c>
      <c r="BN190">
        <v>3</v>
      </c>
      <c r="BO190">
        <v>5</v>
      </c>
      <c r="BP190">
        <v>5</v>
      </c>
      <c r="BQ190">
        <v>6</v>
      </c>
      <c r="BR190">
        <v>5</v>
      </c>
      <c r="BS190">
        <v>4</v>
      </c>
      <c r="BT190">
        <v>6</v>
      </c>
      <c r="BU190">
        <v>5</v>
      </c>
      <c r="BV190">
        <f t="shared" si="16"/>
        <v>93</v>
      </c>
      <c r="CC190" s="18" t="s">
        <v>65</v>
      </c>
      <c r="CD190">
        <v>0</v>
      </c>
    </row>
    <row r="191" spans="53:82" x14ac:dyDescent="0.25">
      <c r="BA191" t="s">
        <v>25</v>
      </c>
      <c r="BB191">
        <v>20</v>
      </c>
      <c r="BC191">
        <v>2</v>
      </c>
      <c r="BD191">
        <v>5</v>
      </c>
      <c r="BE191">
        <v>5</v>
      </c>
      <c r="BF191">
        <v>5</v>
      </c>
      <c r="BG191">
        <v>4</v>
      </c>
      <c r="BH191">
        <v>7</v>
      </c>
      <c r="BI191">
        <v>7</v>
      </c>
      <c r="BJ191">
        <v>4</v>
      </c>
      <c r="BK191">
        <v>6</v>
      </c>
      <c r="BL191">
        <v>7</v>
      </c>
      <c r="BM191">
        <v>7</v>
      </c>
      <c r="BN191">
        <v>4</v>
      </c>
      <c r="BO191">
        <v>4</v>
      </c>
      <c r="BP191">
        <v>4</v>
      </c>
      <c r="BQ191">
        <v>6</v>
      </c>
      <c r="BR191">
        <v>5</v>
      </c>
      <c r="BS191">
        <v>2</v>
      </c>
      <c r="BT191">
        <v>5</v>
      </c>
      <c r="BU191">
        <v>6</v>
      </c>
      <c r="BV191">
        <f t="shared" si="16"/>
        <v>93</v>
      </c>
      <c r="CC191" s="18" t="s">
        <v>67</v>
      </c>
      <c r="CD191">
        <v>6</v>
      </c>
    </row>
    <row r="192" spans="53:82" x14ac:dyDescent="0.25">
      <c r="BA192" t="s">
        <v>48</v>
      </c>
      <c r="BB192">
        <v>20</v>
      </c>
      <c r="BC192">
        <v>2</v>
      </c>
      <c r="BD192">
        <v>5</v>
      </c>
      <c r="BE192">
        <v>7</v>
      </c>
      <c r="BF192">
        <v>6</v>
      </c>
      <c r="BG192">
        <v>5</v>
      </c>
      <c r="BH192">
        <v>5</v>
      </c>
      <c r="BI192">
        <v>5</v>
      </c>
      <c r="BJ192">
        <v>3</v>
      </c>
      <c r="BK192">
        <v>6</v>
      </c>
      <c r="BL192">
        <v>4</v>
      </c>
      <c r="BM192">
        <v>6</v>
      </c>
      <c r="BN192">
        <v>5</v>
      </c>
      <c r="BO192">
        <v>4</v>
      </c>
      <c r="BP192">
        <v>4</v>
      </c>
      <c r="BQ192">
        <v>6</v>
      </c>
      <c r="BR192">
        <v>6</v>
      </c>
      <c r="BS192">
        <v>4</v>
      </c>
      <c r="BT192">
        <v>5</v>
      </c>
      <c r="BU192">
        <v>6</v>
      </c>
      <c r="BV192">
        <f t="shared" si="16"/>
        <v>92</v>
      </c>
      <c r="CC192" s="18" t="s">
        <v>88</v>
      </c>
      <c r="CD192">
        <v>14</v>
      </c>
    </row>
    <row r="193" spans="53:82" x14ac:dyDescent="0.25">
      <c r="BA193" t="s">
        <v>46</v>
      </c>
      <c r="BB193">
        <v>18</v>
      </c>
      <c r="BC193">
        <v>2</v>
      </c>
      <c r="BD193">
        <v>6</v>
      </c>
      <c r="BE193">
        <v>6</v>
      </c>
      <c r="BF193">
        <v>5</v>
      </c>
      <c r="BG193">
        <v>4</v>
      </c>
      <c r="BH193">
        <v>4</v>
      </c>
      <c r="BI193">
        <v>4</v>
      </c>
      <c r="BJ193">
        <v>4</v>
      </c>
      <c r="BK193">
        <v>3</v>
      </c>
      <c r="BL193">
        <v>4</v>
      </c>
      <c r="BM193">
        <v>9</v>
      </c>
      <c r="BN193">
        <v>5</v>
      </c>
      <c r="BO193">
        <v>6</v>
      </c>
      <c r="BP193">
        <v>4</v>
      </c>
      <c r="BQ193">
        <v>6</v>
      </c>
      <c r="BR193">
        <v>6</v>
      </c>
      <c r="BS193">
        <v>6</v>
      </c>
      <c r="BT193">
        <v>8</v>
      </c>
      <c r="BU193">
        <v>5</v>
      </c>
      <c r="BV193">
        <f t="shared" si="16"/>
        <v>95</v>
      </c>
      <c r="CC193" s="18" t="s">
        <v>64</v>
      </c>
      <c r="CD193">
        <v>0</v>
      </c>
    </row>
    <row r="194" spans="53:82" x14ac:dyDescent="0.25">
      <c r="BA194" t="s">
        <v>37</v>
      </c>
      <c r="BB194">
        <v>18</v>
      </c>
      <c r="BC194">
        <v>2</v>
      </c>
      <c r="BD194">
        <v>4</v>
      </c>
      <c r="BE194">
        <v>5</v>
      </c>
      <c r="BF194">
        <v>5</v>
      </c>
      <c r="BG194">
        <v>4</v>
      </c>
      <c r="BH194">
        <v>6</v>
      </c>
      <c r="BI194">
        <v>5</v>
      </c>
      <c r="BJ194">
        <v>4</v>
      </c>
      <c r="BK194">
        <v>6</v>
      </c>
      <c r="BL194">
        <v>5</v>
      </c>
      <c r="BM194">
        <v>5</v>
      </c>
      <c r="BN194">
        <v>4</v>
      </c>
      <c r="BO194">
        <v>5</v>
      </c>
      <c r="BP194">
        <v>6</v>
      </c>
      <c r="BQ194">
        <v>6</v>
      </c>
      <c r="BR194">
        <v>6</v>
      </c>
      <c r="BS194">
        <v>3</v>
      </c>
      <c r="BT194">
        <v>5</v>
      </c>
      <c r="BU194">
        <v>6</v>
      </c>
      <c r="BV194">
        <f t="shared" si="16"/>
        <v>90</v>
      </c>
      <c r="CC194" s="18" t="s">
        <v>66</v>
      </c>
      <c r="CD194">
        <v>4</v>
      </c>
    </row>
    <row r="195" spans="53:82" x14ac:dyDescent="0.25">
      <c r="BA195" t="s">
        <v>22</v>
      </c>
      <c r="BB195">
        <v>18</v>
      </c>
      <c r="BC195">
        <v>2</v>
      </c>
      <c r="BD195">
        <v>7</v>
      </c>
      <c r="BE195">
        <v>5</v>
      </c>
      <c r="BF195">
        <v>5</v>
      </c>
      <c r="BG195">
        <v>5</v>
      </c>
      <c r="BH195">
        <v>6</v>
      </c>
      <c r="BI195">
        <v>3</v>
      </c>
      <c r="BJ195">
        <v>7</v>
      </c>
      <c r="BK195">
        <v>6</v>
      </c>
      <c r="BL195">
        <v>4</v>
      </c>
      <c r="BM195">
        <v>6</v>
      </c>
      <c r="BN195">
        <v>3</v>
      </c>
      <c r="BO195">
        <v>4</v>
      </c>
      <c r="BP195">
        <v>5</v>
      </c>
      <c r="BQ195">
        <v>5</v>
      </c>
      <c r="BR195">
        <v>4</v>
      </c>
      <c r="BS195">
        <v>3</v>
      </c>
      <c r="BT195">
        <v>5</v>
      </c>
      <c r="BU195">
        <v>6</v>
      </c>
      <c r="BV195">
        <f t="shared" si="16"/>
        <v>89</v>
      </c>
      <c r="CC195" s="18" t="s">
        <v>89</v>
      </c>
      <c r="CD195">
        <v>3</v>
      </c>
    </row>
    <row r="196" spans="53:82" x14ac:dyDescent="0.25">
      <c r="BA196" t="s">
        <v>28</v>
      </c>
      <c r="BB196">
        <v>18</v>
      </c>
      <c r="BC196">
        <v>2</v>
      </c>
      <c r="BD196">
        <v>6</v>
      </c>
      <c r="BE196">
        <v>5</v>
      </c>
      <c r="BF196">
        <v>4</v>
      </c>
      <c r="BG196">
        <v>4</v>
      </c>
      <c r="BH196">
        <v>6</v>
      </c>
      <c r="BI196">
        <v>5</v>
      </c>
      <c r="BJ196">
        <v>5</v>
      </c>
      <c r="BK196">
        <v>4</v>
      </c>
      <c r="BL196">
        <v>5</v>
      </c>
      <c r="BM196">
        <v>4</v>
      </c>
      <c r="BN196">
        <v>4</v>
      </c>
      <c r="BO196">
        <v>5</v>
      </c>
      <c r="BP196">
        <v>4</v>
      </c>
      <c r="BQ196">
        <v>6</v>
      </c>
      <c r="BR196">
        <v>5</v>
      </c>
      <c r="BS196">
        <v>4</v>
      </c>
      <c r="BT196">
        <v>4</v>
      </c>
      <c r="BU196">
        <v>7</v>
      </c>
      <c r="BV196">
        <f t="shared" si="16"/>
        <v>87</v>
      </c>
      <c r="CC196" s="18" t="s">
        <v>69</v>
      </c>
      <c r="CD196">
        <v>9</v>
      </c>
    </row>
    <row r="197" spans="53:82" x14ac:dyDescent="0.25">
      <c r="BA197" t="s">
        <v>31</v>
      </c>
      <c r="BB197">
        <v>18</v>
      </c>
      <c r="BC197">
        <v>2</v>
      </c>
      <c r="BD197">
        <v>6</v>
      </c>
      <c r="BE197">
        <v>5</v>
      </c>
      <c r="BF197">
        <v>4</v>
      </c>
      <c r="BG197">
        <v>3</v>
      </c>
      <c r="BH197">
        <v>3</v>
      </c>
      <c r="BI197">
        <v>5</v>
      </c>
      <c r="BJ197">
        <v>5</v>
      </c>
      <c r="BK197">
        <v>6</v>
      </c>
      <c r="BL197">
        <v>5</v>
      </c>
      <c r="BM197">
        <v>6</v>
      </c>
      <c r="BN197">
        <v>5</v>
      </c>
      <c r="BO197">
        <v>4</v>
      </c>
      <c r="BP197">
        <v>5</v>
      </c>
      <c r="BQ197">
        <v>6</v>
      </c>
      <c r="BR197">
        <v>5</v>
      </c>
      <c r="BS197">
        <v>4</v>
      </c>
      <c r="BT197">
        <v>5</v>
      </c>
      <c r="BU197">
        <v>5</v>
      </c>
      <c r="BV197">
        <f t="shared" si="16"/>
        <v>87</v>
      </c>
      <c r="CC197" s="3" t="s">
        <v>34</v>
      </c>
    </row>
    <row r="198" spans="53:82" x14ac:dyDescent="0.25">
      <c r="BA198" t="s">
        <v>39</v>
      </c>
      <c r="BB198">
        <v>16</v>
      </c>
      <c r="BC198">
        <v>2</v>
      </c>
      <c r="BD198">
        <v>5</v>
      </c>
      <c r="BE198">
        <v>4</v>
      </c>
      <c r="BF198">
        <v>4</v>
      </c>
      <c r="BG198">
        <v>4</v>
      </c>
      <c r="BH198">
        <v>7</v>
      </c>
      <c r="BI198">
        <v>5</v>
      </c>
      <c r="BJ198">
        <v>5</v>
      </c>
      <c r="BK198">
        <v>4</v>
      </c>
      <c r="BL198">
        <v>5</v>
      </c>
      <c r="BM198">
        <v>8</v>
      </c>
      <c r="BN198">
        <v>7</v>
      </c>
      <c r="BO198">
        <v>4</v>
      </c>
      <c r="BP198">
        <v>4</v>
      </c>
      <c r="BQ198">
        <v>7</v>
      </c>
      <c r="BR198">
        <v>5</v>
      </c>
      <c r="BS198">
        <v>5</v>
      </c>
      <c r="BT198">
        <v>5</v>
      </c>
      <c r="BU198">
        <v>4</v>
      </c>
      <c r="BV198">
        <f t="shared" si="16"/>
        <v>92</v>
      </c>
      <c r="CC198" s="18" t="s">
        <v>65</v>
      </c>
      <c r="CD198">
        <v>4</v>
      </c>
    </row>
    <row r="199" spans="53:82" x14ac:dyDescent="0.25">
      <c r="BA199" t="s">
        <v>38</v>
      </c>
      <c r="BB199">
        <v>16</v>
      </c>
      <c r="BC199">
        <v>2</v>
      </c>
      <c r="BD199">
        <v>6</v>
      </c>
      <c r="BE199">
        <v>8</v>
      </c>
      <c r="BF199">
        <v>5</v>
      </c>
      <c r="BG199">
        <v>4</v>
      </c>
      <c r="BH199">
        <v>5</v>
      </c>
      <c r="BI199">
        <v>6</v>
      </c>
      <c r="BJ199">
        <v>4</v>
      </c>
      <c r="BK199">
        <v>5</v>
      </c>
      <c r="BL199">
        <v>5</v>
      </c>
      <c r="BM199">
        <v>5</v>
      </c>
      <c r="BN199">
        <v>4</v>
      </c>
      <c r="BO199">
        <v>4</v>
      </c>
      <c r="BP199">
        <v>4</v>
      </c>
      <c r="BQ199">
        <v>5</v>
      </c>
      <c r="BR199">
        <v>6</v>
      </c>
      <c r="BS199">
        <v>4</v>
      </c>
      <c r="BT199">
        <v>5</v>
      </c>
      <c r="BU199">
        <v>5</v>
      </c>
      <c r="BV199">
        <f t="shared" si="16"/>
        <v>90</v>
      </c>
      <c r="CC199" s="18" t="s">
        <v>67</v>
      </c>
      <c r="CD199">
        <v>9</v>
      </c>
    </row>
    <row r="200" spans="53:82" x14ac:dyDescent="0.25">
      <c r="BA200" t="s">
        <v>26</v>
      </c>
      <c r="BB200">
        <v>16</v>
      </c>
      <c r="BC200">
        <v>2</v>
      </c>
      <c r="BD200">
        <v>5</v>
      </c>
      <c r="BE200">
        <v>5</v>
      </c>
      <c r="BF200">
        <v>5</v>
      </c>
      <c r="BG200">
        <v>3</v>
      </c>
      <c r="BH200">
        <v>5</v>
      </c>
      <c r="BI200">
        <v>5</v>
      </c>
      <c r="BJ200">
        <v>5</v>
      </c>
      <c r="BK200">
        <v>4</v>
      </c>
      <c r="BL200">
        <v>4</v>
      </c>
      <c r="BM200">
        <v>7</v>
      </c>
      <c r="BN200">
        <v>3</v>
      </c>
      <c r="BO200">
        <v>5</v>
      </c>
      <c r="BP200">
        <v>5</v>
      </c>
      <c r="BQ200">
        <v>5</v>
      </c>
      <c r="BR200">
        <v>4</v>
      </c>
      <c r="BS200">
        <v>3</v>
      </c>
      <c r="BT200">
        <v>6</v>
      </c>
      <c r="BU200">
        <v>7</v>
      </c>
      <c r="BV200">
        <f t="shared" si="16"/>
        <v>86</v>
      </c>
      <c r="CC200" s="18" t="s">
        <v>88</v>
      </c>
      <c r="CD200">
        <v>9</v>
      </c>
    </row>
    <row r="201" spans="53:82" x14ac:dyDescent="0.25">
      <c r="BA201" t="s">
        <v>35</v>
      </c>
      <c r="BB201">
        <v>15</v>
      </c>
      <c r="BC201">
        <v>2</v>
      </c>
      <c r="BD201">
        <v>7</v>
      </c>
      <c r="BE201">
        <v>5</v>
      </c>
      <c r="BF201">
        <v>3</v>
      </c>
      <c r="BG201">
        <v>3</v>
      </c>
      <c r="BH201">
        <v>6</v>
      </c>
      <c r="BI201">
        <v>5</v>
      </c>
      <c r="BJ201">
        <v>6</v>
      </c>
      <c r="BK201">
        <v>4</v>
      </c>
      <c r="BL201">
        <v>4</v>
      </c>
      <c r="BM201">
        <v>4</v>
      </c>
      <c r="BN201">
        <v>3</v>
      </c>
      <c r="BO201">
        <v>4</v>
      </c>
      <c r="BP201">
        <v>4</v>
      </c>
      <c r="BQ201">
        <v>7</v>
      </c>
      <c r="BR201">
        <v>5</v>
      </c>
      <c r="BS201">
        <v>5</v>
      </c>
      <c r="BT201">
        <v>5</v>
      </c>
      <c r="BU201">
        <v>6</v>
      </c>
      <c r="BV201">
        <f t="shared" si="16"/>
        <v>86</v>
      </c>
      <c r="CC201" s="18" t="s">
        <v>64</v>
      </c>
      <c r="CD201">
        <v>0</v>
      </c>
    </row>
    <row r="202" spans="53:82" x14ac:dyDescent="0.25">
      <c r="BA202" t="s">
        <v>51</v>
      </c>
      <c r="BB202">
        <v>15</v>
      </c>
      <c r="BC202">
        <v>2</v>
      </c>
      <c r="BD202">
        <v>5</v>
      </c>
      <c r="BE202">
        <v>4</v>
      </c>
      <c r="BF202">
        <v>4</v>
      </c>
      <c r="BG202">
        <v>6</v>
      </c>
      <c r="BH202">
        <v>6</v>
      </c>
      <c r="BI202">
        <v>5</v>
      </c>
      <c r="BJ202">
        <v>3</v>
      </c>
      <c r="BK202">
        <v>4</v>
      </c>
      <c r="BL202">
        <v>5</v>
      </c>
      <c r="BM202">
        <v>7</v>
      </c>
      <c r="BN202">
        <v>3</v>
      </c>
      <c r="BO202">
        <v>4</v>
      </c>
      <c r="BP202">
        <v>5</v>
      </c>
      <c r="BQ202">
        <v>5</v>
      </c>
      <c r="BR202">
        <v>5</v>
      </c>
      <c r="BS202">
        <v>3</v>
      </c>
      <c r="BT202">
        <v>4</v>
      </c>
      <c r="BU202">
        <v>5</v>
      </c>
      <c r="BV202">
        <f t="shared" si="16"/>
        <v>83</v>
      </c>
      <c r="CC202" s="18" t="s">
        <v>66</v>
      </c>
      <c r="CD202">
        <v>10</v>
      </c>
    </row>
    <row r="203" spans="53:82" x14ac:dyDescent="0.25">
      <c r="BA203" t="s">
        <v>49</v>
      </c>
      <c r="BB203">
        <v>14</v>
      </c>
      <c r="BC203">
        <v>2</v>
      </c>
      <c r="BD203">
        <v>5</v>
      </c>
      <c r="BE203">
        <v>6</v>
      </c>
      <c r="BF203">
        <v>4</v>
      </c>
      <c r="BG203">
        <v>4</v>
      </c>
      <c r="BH203">
        <v>4</v>
      </c>
      <c r="BI203">
        <v>6</v>
      </c>
      <c r="BJ203">
        <v>5</v>
      </c>
      <c r="BK203">
        <v>4</v>
      </c>
      <c r="BL203">
        <v>5</v>
      </c>
      <c r="BM203">
        <v>5</v>
      </c>
      <c r="BN203">
        <v>4</v>
      </c>
      <c r="BO203">
        <v>5</v>
      </c>
      <c r="BP203">
        <v>5</v>
      </c>
      <c r="BQ203">
        <v>7</v>
      </c>
      <c r="BR203">
        <v>5</v>
      </c>
      <c r="BS203">
        <v>4</v>
      </c>
      <c r="BT203">
        <v>6</v>
      </c>
      <c r="BU203">
        <v>6</v>
      </c>
      <c r="BV203">
        <f t="shared" si="16"/>
        <v>90</v>
      </c>
      <c r="CC203" s="18" t="s">
        <v>89</v>
      </c>
      <c r="CD203">
        <v>3</v>
      </c>
    </row>
    <row r="204" spans="53:82" x14ac:dyDescent="0.25">
      <c r="BA204" t="s">
        <v>36</v>
      </c>
      <c r="BB204">
        <v>14</v>
      </c>
      <c r="BC204">
        <v>2</v>
      </c>
      <c r="BD204">
        <v>5</v>
      </c>
      <c r="BE204">
        <v>5</v>
      </c>
      <c r="BF204">
        <v>6</v>
      </c>
      <c r="BG204">
        <v>4</v>
      </c>
      <c r="BH204">
        <v>4</v>
      </c>
      <c r="BI204">
        <v>4</v>
      </c>
      <c r="BJ204">
        <v>5</v>
      </c>
      <c r="BK204">
        <v>5</v>
      </c>
      <c r="BL204">
        <v>5</v>
      </c>
      <c r="BM204">
        <v>6</v>
      </c>
      <c r="BN204">
        <v>4</v>
      </c>
      <c r="BO204">
        <v>5</v>
      </c>
      <c r="BP204">
        <v>5</v>
      </c>
      <c r="BQ204">
        <v>6</v>
      </c>
      <c r="BR204">
        <v>5</v>
      </c>
      <c r="BS204">
        <v>3</v>
      </c>
      <c r="BT204">
        <v>6</v>
      </c>
      <c r="BU204">
        <v>5</v>
      </c>
      <c r="BV204">
        <f t="shared" si="16"/>
        <v>88</v>
      </c>
      <c r="CC204" s="18" t="s">
        <v>69</v>
      </c>
      <c r="CD204">
        <v>1</v>
      </c>
    </row>
    <row r="205" spans="53:82" x14ac:dyDescent="0.25">
      <c r="BA205" t="s">
        <v>41</v>
      </c>
      <c r="BB205">
        <v>14</v>
      </c>
      <c r="BC205">
        <v>2</v>
      </c>
      <c r="BD205">
        <v>6</v>
      </c>
      <c r="BE205">
        <v>5</v>
      </c>
      <c r="BF205">
        <v>5</v>
      </c>
      <c r="BG205">
        <v>3</v>
      </c>
      <c r="BH205">
        <v>5</v>
      </c>
      <c r="BI205">
        <v>7</v>
      </c>
      <c r="BJ205">
        <v>5</v>
      </c>
      <c r="BK205">
        <v>4</v>
      </c>
      <c r="BL205">
        <v>4</v>
      </c>
      <c r="BM205">
        <v>4</v>
      </c>
      <c r="BN205">
        <v>4</v>
      </c>
      <c r="BO205">
        <v>4</v>
      </c>
      <c r="BP205">
        <v>6</v>
      </c>
      <c r="BQ205">
        <v>5</v>
      </c>
      <c r="BR205">
        <v>3</v>
      </c>
      <c r="BS205">
        <v>3</v>
      </c>
      <c r="BT205">
        <v>4</v>
      </c>
      <c r="BU205">
        <v>5</v>
      </c>
      <c r="BV205">
        <f t="shared" si="16"/>
        <v>82</v>
      </c>
      <c r="CC205" s="3" t="s">
        <v>39</v>
      </c>
    </row>
    <row r="206" spans="53:82" x14ac:dyDescent="0.25">
      <c r="BA206" t="s">
        <v>34</v>
      </c>
      <c r="BB206">
        <v>12</v>
      </c>
      <c r="BC206">
        <v>2</v>
      </c>
      <c r="BD206">
        <v>7</v>
      </c>
      <c r="BE206">
        <v>4</v>
      </c>
      <c r="BF206">
        <v>4</v>
      </c>
      <c r="BG206">
        <v>3</v>
      </c>
      <c r="BH206">
        <v>4</v>
      </c>
      <c r="BI206">
        <v>4</v>
      </c>
      <c r="BJ206">
        <v>5</v>
      </c>
      <c r="BK206">
        <v>3</v>
      </c>
      <c r="BL206">
        <v>5</v>
      </c>
      <c r="BM206">
        <v>5</v>
      </c>
      <c r="BN206">
        <v>3</v>
      </c>
      <c r="BO206">
        <v>5</v>
      </c>
      <c r="BP206">
        <v>6</v>
      </c>
      <c r="BQ206">
        <v>5</v>
      </c>
      <c r="BR206">
        <v>5</v>
      </c>
      <c r="BS206">
        <v>3</v>
      </c>
      <c r="BT206">
        <v>7</v>
      </c>
      <c r="BU206">
        <v>6</v>
      </c>
      <c r="BV206">
        <f t="shared" si="16"/>
        <v>84</v>
      </c>
      <c r="CC206" s="18" t="s">
        <v>65</v>
      </c>
      <c r="CD206">
        <v>2</v>
      </c>
    </row>
    <row r="207" spans="53:82" x14ac:dyDescent="0.25">
      <c r="BA207" t="s">
        <v>40</v>
      </c>
      <c r="BB207">
        <v>7</v>
      </c>
      <c r="BC207">
        <v>2</v>
      </c>
      <c r="BD207">
        <v>5</v>
      </c>
      <c r="BE207">
        <v>6</v>
      </c>
      <c r="BF207">
        <v>4</v>
      </c>
      <c r="BG207">
        <v>3</v>
      </c>
      <c r="BH207">
        <v>4</v>
      </c>
      <c r="BI207">
        <v>4</v>
      </c>
      <c r="BJ207">
        <v>4</v>
      </c>
      <c r="BK207">
        <v>4</v>
      </c>
      <c r="BL207">
        <v>5</v>
      </c>
      <c r="BM207">
        <v>4</v>
      </c>
      <c r="BN207">
        <v>3</v>
      </c>
      <c r="BO207">
        <v>4</v>
      </c>
      <c r="BP207">
        <v>4</v>
      </c>
      <c r="BQ207">
        <v>6</v>
      </c>
      <c r="BR207">
        <v>3</v>
      </c>
      <c r="BS207">
        <v>3</v>
      </c>
      <c r="BT207">
        <v>4</v>
      </c>
      <c r="BU207">
        <v>5</v>
      </c>
      <c r="BV207">
        <f t="shared" si="16"/>
        <v>75</v>
      </c>
      <c r="CC207" s="18" t="s">
        <v>67</v>
      </c>
      <c r="CD207">
        <v>9</v>
      </c>
    </row>
    <row r="208" spans="53:82" x14ac:dyDescent="0.25">
      <c r="BA208" t="s">
        <v>32</v>
      </c>
      <c r="BB208">
        <v>6</v>
      </c>
      <c r="BC208">
        <v>2</v>
      </c>
      <c r="BD208">
        <v>5</v>
      </c>
      <c r="BE208">
        <v>5</v>
      </c>
      <c r="BF208">
        <v>6</v>
      </c>
      <c r="BG208">
        <v>4</v>
      </c>
      <c r="BH208">
        <v>4</v>
      </c>
      <c r="BI208">
        <v>4</v>
      </c>
      <c r="BJ208">
        <v>4</v>
      </c>
      <c r="BK208">
        <v>4</v>
      </c>
      <c r="BL208">
        <v>6</v>
      </c>
      <c r="BM208">
        <v>4</v>
      </c>
      <c r="BN208">
        <v>3</v>
      </c>
      <c r="BO208">
        <v>4</v>
      </c>
      <c r="BP208">
        <v>4</v>
      </c>
      <c r="BQ208">
        <v>4</v>
      </c>
      <c r="BR208">
        <v>5</v>
      </c>
      <c r="BS208">
        <v>4</v>
      </c>
      <c r="BT208">
        <v>5</v>
      </c>
      <c r="BU208">
        <v>4</v>
      </c>
      <c r="BV208">
        <f t="shared" si="16"/>
        <v>79</v>
      </c>
      <c r="CC208" s="18" t="s">
        <v>88</v>
      </c>
      <c r="CD208">
        <v>5</v>
      </c>
    </row>
    <row r="209" spans="81:82" x14ac:dyDescent="0.25">
      <c r="CC209" s="18" t="s">
        <v>64</v>
      </c>
      <c r="CD209">
        <v>0</v>
      </c>
    </row>
    <row r="210" spans="81:82" x14ac:dyDescent="0.25">
      <c r="CC210" s="18" t="s">
        <v>66</v>
      </c>
      <c r="CD210">
        <v>15</v>
      </c>
    </row>
    <row r="211" spans="81:82" x14ac:dyDescent="0.25">
      <c r="CC211" s="18" t="s">
        <v>89</v>
      </c>
      <c r="CD211">
        <v>3</v>
      </c>
    </row>
    <row r="212" spans="81:82" x14ac:dyDescent="0.25">
      <c r="CC212" s="18" t="s">
        <v>69</v>
      </c>
      <c r="CD212">
        <v>2</v>
      </c>
    </row>
    <row r="213" spans="81:82" x14ac:dyDescent="0.25">
      <c r="CC213" s="3" t="s">
        <v>33</v>
      </c>
    </row>
    <row r="214" spans="81:82" x14ac:dyDescent="0.25">
      <c r="CC214" s="18" t="s">
        <v>65</v>
      </c>
      <c r="CD214">
        <v>2</v>
      </c>
    </row>
    <row r="215" spans="81:82" x14ac:dyDescent="0.25">
      <c r="CC215" s="18" t="s">
        <v>67</v>
      </c>
      <c r="CD215">
        <v>7</v>
      </c>
    </row>
    <row r="216" spans="81:82" x14ac:dyDescent="0.25">
      <c r="CC216" s="18" t="s">
        <v>88</v>
      </c>
      <c r="CD216">
        <v>2</v>
      </c>
    </row>
    <row r="217" spans="81:82" x14ac:dyDescent="0.25">
      <c r="CC217" s="18" t="s">
        <v>64</v>
      </c>
      <c r="CD217">
        <v>0</v>
      </c>
    </row>
    <row r="218" spans="81:82" x14ac:dyDescent="0.25">
      <c r="CC218" s="18" t="s">
        <v>66</v>
      </c>
      <c r="CD218">
        <v>7</v>
      </c>
    </row>
    <row r="219" spans="81:82" x14ac:dyDescent="0.25">
      <c r="CC219" s="18" t="s">
        <v>89</v>
      </c>
      <c r="CD219">
        <v>0</v>
      </c>
    </row>
    <row r="220" spans="81:82" x14ac:dyDescent="0.25">
      <c r="CC220" s="18" t="s">
        <v>69</v>
      </c>
      <c r="CD220">
        <v>0</v>
      </c>
    </row>
    <row r="221" spans="81:82" x14ac:dyDescent="0.25">
      <c r="CC221" s="3" t="s">
        <v>36</v>
      </c>
    </row>
    <row r="222" spans="81:82" x14ac:dyDescent="0.25">
      <c r="CC222" s="18" t="s">
        <v>65</v>
      </c>
      <c r="CD222">
        <v>3</v>
      </c>
    </row>
    <row r="223" spans="81:82" x14ac:dyDescent="0.25">
      <c r="CC223" s="18" t="s">
        <v>67</v>
      </c>
      <c r="CD223">
        <v>17</v>
      </c>
    </row>
    <row r="224" spans="81:82" x14ac:dyDescent="0.25">
      <c r="CC224" s="18" t="s">
        <v>88</v>
      </c>
      <c r="CD224">
        <v>9</v>
      </c>
    </row>
    <row r="225" spans="81:82" x14ac:dyDescent="0.25">
      <c r="CC225" s="18" t="s">
        <v>64</v>
      </c>
      <c r="CD225">
        <v>0</v>
      </c>
    </row>
    <row r="226" spans="81:82" x14ac:dyDescent="0.25">
      <c r="CC226" s="18" t="s">
        <v>66</v>
      </c>
      <c r="CD226">
        <v>7</v>
      </c>
    </row>
    <row r="227" spans="81:82" x14ac:dyDescent="0.25">
      <c r="CC227" s="18" t="s">
        <v>89</v>
      </c>
      <c r="CD227">
        <v>0</v>
      </c>
    </row>
    <row r="228" spans="81:82" x14ac:dyDescent="0.25">
      <c r="CC228" s="18" t="s">
        <v>69</v>
      </c>
      <c r="CD228">
        <v>0</v>
      </c>
    </row>
    <row r="229" spans="81:82" x14ac:dyDescent="0.25">
      <c r="CC229" s="3" t="s">
        <v>50</v>
      </c>
    </row>
    <row r="230" spans="81:82" x14ac:dyDescent="0.25">
      <c r="CC230" s="18" t="s">
        <v>65</v>
      </c>
      <c r="CD230">
        <v>1</v>
      </c>
    </row>
    <row r="231" spans="81:82" x14ac:dyDescent="0.25">
      <c r="CC231" s="18" t="s">
        <v>67</v>
      </c>
      <c r="CD231">
        <v>12</v>
      </c>
    </row>
    <row r="232" spans="81:82" x14ac:dyDescent="0.25">
      <c r="CC232" s="18" t="s">
        <v>88</v>
      </c>
      <c r="CD232">
        <v>7</v>
      </c>
    </row>
    <row r="233" spans="81:82" x14ac:dyDescent="0.25">
      <c r="CC233" s="18" t="s">
        <v>64</v>
      </c>
      <c r="CD233">
        <v>0</v>
      </c>
    </row>
    <row r="234" spans="81:82" x14ac:dyDescent="0.25">
      <c r="CC234" s="18" t="s">
        <v>66</v>
      </c>
      <c r="CD234">
        <v>9</v>
      </c>
    </row>
    <row r="235" spans="81:82" x14ac:dyDescent="0.25">
      <c r="CC235" s="18" t="s">
        <v>89</v>
      </c>
      <c r="CD235">
        <v>1</v>
      </c>
    </row>
    <row r="236" spans="81:82" x14ac:dyDescent="0.25">
      <c r="CC236" s="18" t="s">
        <v>69</v>
      </c>
      <c r="CD236">
        <v>6</v>
      </c>
    </row>
    <row r="237" spans="81:82" x14ac:dyDescent="0.25">
      <c r="CC237" s="3" t="s">
        <v>35</v>
      </c>
    </row>
    <row r="238" spans="81:82" x14ac:dyDescent="0.25">
      <c r="CC238" s="18" t="s">
        <v>65</v>
      </c>
      <c r="CD238">
        <v>2</v>
      </c>
    </row>
    <row r="239" spans="81:82" x14ac:dyDescent="0.25">
      <c r="CC239" s="18" t="s">
        <v>67</v>
      </c>
      <c r="CD239">
        <v>10</v>
      </c>
    </row>
    <row r="240" spans="81:82" x14ac:dyDescent="0.25">
      <c r="CC240" s="18" t="s">
        <v>88</v>
      </c>
      <c r="CD240">
        <v>8</v>
      </c>
    </row>
    <row r="241" spans="81:82" x14ac:dyDescent="0.25">
      <c r="CC241" s="18" t="s">
        <v>64</v>
      </c>
      <c r="CD241">
        <v>0</v>
      </c>
    </row>
    <row r="242" spans="81:82" x14ac:dyDescent="0.25">
      <c r="CC242" s="18" t="s">
        <v>66</v>
      </c>
      <c r="CD242">
        <v>13</v>
      </c>
    </row>
    <row r="243" spans="81:82" x14ac:dyDescent="0.25">
      <c r="CC243" s="18" t="s">
        <v>89</v>
      </c>
      <c r="CD243">
        <v>1</v>
      </c>
    </row>
    <row r="244" spans="81:82" x14ac:dyDescent="0.25">
      <c r="CC244" s="18" t="s">
        <v>69</v>
      </c>
      <c r="CD244">
        <v>2</v>
      </c>
    </row>
    <row r="245" spans="81:82" x14ac:dyDescent="0.25">
      <c r="CC245" s="3" t="s">
        <v>30</v>
      </c>
    </row>
    <row r="246" spans="81:82" x14ac:dyDescent="0.25">
      <c r="CC246" s="18" t="s">
        <v>65</v>
      </c>
      <c r="CD246">
        <v>3</v>
      </c>
    </row>
    <row r="247" spans="81:82" x14ac:dyDescent="0.25">
      <c r="CC247" s="18" t="s">
        <v>67</v>
      </c>
      <c r="CD247">
        <v>12</v>
      </c>
    </row>
    <row r="248" spans="81:82" x14ac:dyDescent="0.25">
      <c r="CC248" s="18" t="s">
        <v>88</v>
      </c>
      <c r="CD248">
        <v>11</v>
      </c>
    </row>
    <row r="249" spans="81:82" x14ac:dyDescent="0.25">
      <c r="CC249" s="18" t="s">
        <v>64</v>
      </c>
      <c r="CD249">
        <v>0</v>
      </c>
    </row>
    <row r="250" spans="81:82" x14ac:dyDescent="0.25">
      <c r="CC250" s="18" t="s">
        <v>66</v>
      </c>
      <c r="CD250">
        <v>5</v>
      </c>
    </row>
    <row r="251" spans="81:82" x14ac:dyDescent="0.25">
      <c r="CC251" s="18" t="s">
        <v>89</v>
      </c>
      <c r="CD251">
        <v>2</v>
      </c>
    </row>
    <row r="252" spans="81:82" x14ac:dyDescent="0.25">
      <c r="CC252" s="18" t="s">
        <v>69</v>
      </c>
      <c r="CD252">
        <v>3</v>
      </c>
    </row>
    <row r="253" spans="81:82" x14ac:dyDescent="0.25">
      <c r="CC253" s="3" t="s">
        <v>31</v>
      </c>
    </row>
    <row r="254" spans="81:82" x14ac:dyDescent="0.25">
      <c r="CC254" s="18" t="s">
        <v>65</v>
      </c>
      <c r="CD254">
        <v>2</v>
      </c>
    </row>
    <row r="255" spans="81:82" x14ac:dyDescent="0.25">
      <c r="CC255" s="18" t="s">
        <v>67</v>
      </c>
      <c r="CD255">
        <v>14</v>
      </c>
    </row>
    <row r="256" spans="81:82" x14ac:dyDescent="0.25">
      <c r="CC256" s="18" t="s">
        <v>88</v>
      </c>
      <c r="CD256">
        <v>8</v>
      </c>
    </row>
    <row r="257" spans="81:82" x14ac:dyDescent="0.25">
      <c r="CC257" s="18" t="s">
        <v>64</v>
      </c>
      <c r="CD257">
        <v>0</v>
      </c>
    </row>
    <row r="258" spans="81:82" x14ac:dyDescent="0.25">
      <c r="CC258" s="18" t="s">
        <v>66</v>
      </c>
      <c r="CD258">
        <v>9</v>
      </c>
    </row>
    <row r="259" spans="81:82" x14ac:dyDescent="0.25">
      <c r="CC259" s="18" t="s">
        <v>89</v>
      </c>
      <c r="CD259">
        <v>0</v>
      </c>
    </row>
    <row r="260" spans="81:82" x14ac:dyDescent="0.25">
      <c r="CC260" s="18" t="s">
        <v>69</v>
      </c>
      <c r="CD260">
        <v>3</v>
      </c>
    </row>
    <row r="261" spans="81:82" x14ac:dyDescent="0.25">
      <c r="CC261" s="3" t="s">
        <v>42</v>
      </c>
    </row>
    <row r="262" spans="81:82" x14ac:dyDescent="0.25">
      <c r="CC262" s="18" t="s">
        <v>65</v>
      </c>
      <c r="CD262">
        <v>0</v>
      </c>
    </row>
    <row r="263" spans="81:82" x14ac:dyDescent="0.25">
      <c r="CC263" s="18" t="s">
        <v>67</v>
      </c>
      <c r="CD263">
        <v>10</v>
      </c>
    </row>
    <row r="264" spans="81:82" x14ac:dyDescent="0.25">
      <c r="CC264" s="18" t="s">
        <v>88</v>
      </c>
      <c r="CD264">
        <v>12</v>
      </c>
    </row>
    <row r="265" spans="81:82" x14ac:dyDescent="0.25">
      <c r="CC265" s="18" t="s">
        <v>64</v>
      </c>
      <c r="CD265">
        <v>0</v>
      </c>
    </row>
    <row r="266" spans="81:82" x14ac:dyDescent="0.25">
      <c r="CC266" s="18" t="s">
        <v>66</v>
      </c>
      <c r="CD266">
        <v>7</v>
      </c>
    </row>
    <row r="267" spans="81:82" x14ac:dyDescent="0.25">
      <c r="CC267" s="18" t="s">
        <v>89</v>
      </c>
      <c r="CD267">
        <v>3</v>
      </c>
    </row>
    <row r="268" spans="81:82" x14ac:dyDescent="0.25">
      <c r="CC268" s="18" t="s">
        <v>69</v>
      </c>
      <c r="CD268">
        <v>4</v>
      </c>
    </row>
    <row r="269" spans="81:82" x14ac:dyDescent="0.25">
      <c r="CC269" s="3" t="s">
        <v>40</v>
      </c>
    </row>
    <row r="270" spans="81:82" x14ac:dyDescent="0.25">
      <c r="CC270" s="18" t="s">
        <v>65</v>
      </c>
      <c r="CD270">
        <v>4</v>
      </c>
    </row>
    <row r="271" spans="81:82" x14ac:dyDescent="0.25">
      <c r="CC271" s="18" t="s">
        <v>67</v>
      </c>
      <c r="CD271">
        <v>8</v>
      </c>
    </row>
    <row r="272" spans="81:82" x14ac:dyDescent="0.25">
      <c r="CC272" s="18" t="s">
        <v>88</v>
      </c>
      <c r="CD272">
        <v>3</v>
      </c>
    </row>
    <row r="273" spans="81:82" x14ac:dyDescent="0.25">
      <c r="CC273" s="18" t="s">
        <v>64</v>
      </c>
      <c r="CD273">
        <v>0</v>
      </c>
    </row>
    <row r="274" spans="81:82" x14ac:dyDescent="0.25">
      <c r="CC274" s="18" t="s">
        <v>66</v>
      </c>
      <c r="CD274">
        <v>21</v>
      </c>
    </row>
    <row r="275" spans="81:82" x14ac:dyDescent="0.25">
      <c r="CC275" s="18" t="s">
        <v>89</v>
      </c>
      <c r="CD275">
        <v>0</v>
      </c>
    </row>
    <row r="276" spans="81:82" x14ac:dyDescent="0.25">
      <c r="CC276" s="18" t="s">
        <v>69</v>
      </c>
      <c r="CD276">
        <v>0</v>
      </c>
    </row>
    <row r="277" spans="81:82" x14ac:dyDescent="0.25">
      <c r="CC277" s="3" t="s">
        <v>23</v>
      </c>
    </row>
    <row r="278" spans="81:82" x14ac:dyDescent="0.25">
      <c r="CC278" s="18" t="s">
        <v>65</v>
      </c>
      <c r="CD278">
        <v>1</v>
      </c>
    </row>
    <row r="279" spans="81:82" x14ac:dyDescent="0.25">
      <c r="CC279" s="18" t="s">
        <v>67</v>
      </c>
      <c r="CD279">
        <v>17</v>
      </c>
    </row>
    <row r="280" spans="81:82" x14ac:dyDescent="0.25">
      <c r="CC280" s="18" t="s">
        <v>88</v>
      </c>
      <c r="CD280">
        <v>7</v>
      </c>
    </row>
    <row r="281" spans="81:82" x14ac:dyDescent="0.25">
      <c r="CC281" s="18" t="s">
        <v>64</v>
      </c>
      <c r="CD281">
        <v>0</v>
      </c>
    </row>
    <row r="282" spans="81:82" x14ac:dyDescent="0.25">
      <c r="CC282" s="18" t="s">
        <v>66</v>
      </c>
      <c r="CD282">
        <v>5</v>
      </c>
    </row>
    <row r="283" spans="81:82" x14ac:dyDescent="0.25">
      <c r="CC283" s="18" t="s">
        <v>89</v>
      </c>
      <c r="CD283">
        <v>2</v>
      </c>
    </row>
    <row r="284" spans="81:82" x14ac:dyDescent="0.25">
      <c r="CC284" s="18" t="s">
        <v>69</v>
      </c>
      <c r="CD284">
        <v>4</v>
      </c>
    </row>
    <row r="285" spans="81:82" x14ac:dyDescent="0.25">
      <c r="CC285" s="3" t="s">
        <v>24</v>
      </c>
    </row>
    <row r="286" spans="81:82" x14ac:dyDescent="0.25">
      <c r="CC286" s="18" t="s">
        <v>65</v>
      </c>
      <c r="CD286">
        <v>3</v>
      </c>
    </row>
    <row r="287" spans="81:82" x14ac:dyDescent="0.25">
      <c r="CC287" s="18" t="s">
        <v>67</v>
      </c>
      <c r="CD287">
        <v>7</v>
      </c>
    </row>
    <row r="288" spans="81:82" x14ac:dyDescent="0.25">
      <c r="CC288" s="18" t="s">
        <v>88</v>
      </c>
      <c r="CD288">
        <v>0</v>
      </c>
    </row>
    <row r="289" spans="81:82" x14ac:dyDescent="0.25">
      <c r="CC289" s="18" t="s">
        <v>64</v>
      </c>
      <c r="CD289">
        <v>0</v>
      </c>
    </row>
    <row r="290" spans="81:82" x14ac:dyDescent="0.25">
      <c r="CC290" s="18" t="s">
        <v>66</v>
      </c>
      <c r="CD290">
        <v>8</v>
      </c>
    </row>
    <row r="291" spans="81:82" x14ac:dyDescent="0.25">
      <c r="CC291" s="18" t="s">
        <v>89</v>
      </c>
      <c r="CD291">
        <v>0</v>
      </c>
    </row>
    <row r="292" spans="81:82" x14ac:dyDescent="0.25">
      <c r="CC292" s="18" t="s">
        <v>69</v>
      </c>
      <c r="CD292">
        <v>0</v>
      </c>
    </row>
    <row r="293" spans="81:82" x14ac:dyDescent="0.25">
      <c r="CC293" s="3" t="s">
        <v>51</v>
      </c>
    </row>
    <row r="294" spans="81:82" x14ac:dyDescent="0.25">
      <c r="CC294" s="18" t="s">
        <v>65</v>
      </c>
      <c r="CD294">
        <v>2</v>
      </c>
    </row>
    <row r="295" spans="81:82" x14ac:dyDescent="0.25">
      <c r="CC295" s="18" t="s">
        <v>67</v>
      </c>
      <c r="CD295">
        <v>7</v>
      </c>
    </row>
    <row r="296" spans="81:82" x14ac:dyDescent="0.25">
      <c r="CC296" s="18" t="s">
        <v>88</v>
      </c>
      <c r="CD296">
        <v>6</v>
      </c>
    </row>
    <row r="297" spans="81:82" x14ac:dyDescent="0.25">
      <c r="CC297" s="18" t="s">
        <v>64</v>
      </c>
      <c r="CD297">
        <v>1</v>
      </c>
    </row>
    <row r="298" spans="81:82" x14ac:dyDescent="0.25">
      <c r="CC298" s="18" t="s">
        <v>66</v>
      </c>
      <c r="CD298">
        <v>16</v>
      </c>
    </row>
    <row r="299" spans="81:82" x14ac:dyDescent="0.25">
      <c r="CC299" s="18" t="s">
        <v>89</v>
      </c>
      <c r="CD299">
        <v>1</v>
      </c>
    </row>
    <row r="300" spans="81:82" x14ac:dyDescent="0.25">
      <c r="CC300" s="18" t="s">
        <v>69</v>
      </c>
      <c r="CD300">
        <v>3</v>
      </c>
    </row>
    <row r="301" spans="81:82" x14ac:dyDescent="0.25">
      <c r="CC301" s="3" t="s">
        <v>26</v>
      </c>
    </row>
    <row r="302" spans="81:82" x14ac:dyDescent="0.25">
      <c r="CC302" s="18" t="s">
        <v>65</v>
      </c>
      <c r="CD302">
        <v>0</v>
      </c>
    </row>
    <row r="303" spans="81:82" x14ac:dyDescent="0.25">
      <c r="CC303" s="18" t="s">
        <v>67</v>
      </c>
      <c r="CD303">
        <v>14</v>
      </c>
    </row>
    <row r="304" spans="81:82" x14ac:dyDescent="0.25">
      <c r="CC304" s="18" t="s">
        <v>88</v>
      </c>
      <c r="CD304">
        <v>5</v>
      </c>
    </row>
    <row r="305" spans="81:82" x14ac:dyDescent="0.25">
      <c r="CC305" s="18" t="s">
        <v>64</v>
      </c>
      <c r="CD305">
        <v>1</v>
      </c>
    </row>
    <row r="306" spans="81:82" x14ac:dyDescent="0.25">
      <c r="CC306" s="18" t="s">
        <v>66</v>
      </c>
      <c r="CD306">
        <v>13</v>
      </c>
    </row>
    <row r="307" spans="81:82" x14ac:dyDescent="0.25">
      <c r="CC307" s="18" t="s">
        <v>89</v>
      </c>
      <c r="CD307">
        <v>1</v>
      </c>
    </row>
    <row r="308" spans="81:82" x14ac:dyDescent="0.25">
      <c r="CC308" s="18" t="s">
        <v>69</v>
      </c>
      <c r="CD308">
        <v>2</v>
      </c>
    </row>
    <row r="309" spans="81:82" x14ac:dyDescent="0.25">
      <c r="CC309" s="3" t="s">
        <v>45</v>
      </c>
    </row>
    <row r="310" spans="81:82" x14ac:dyDescent="0.25">
      <c r="CC310" s="18" t="s">
        <v>65</v>
      </c>
      <c r="CD310">
        <v>0</v>
      </c>
    </row>
    <row r="311" spans="81:82" x14ac:dyDescent="0.25">
      <c r="CC311" s="18" t="s">
        <v>67</v>
      </c>
      <c r="CD311">
        <v>5</v>
      </c>
    </row>
    <row r="312" spans="81:82" x14ac:dyDescent="0.25">
      <c r="CC312" s="18" t="s">
        <v>88</v>
      </c>
      <c r="CD312">
        <v>19</v>
      </c>
    </row>
    <row r="313" spans="81:82" x14ac:dyDescent="0.25">
      <c r="CC313" s="18" t="s">
        <v>64</v>
      </c>
      <c r="CD313">
        <v>0</v>
      </c>
    </row>
    <row r="314" spans="81:82" x14ac:dyDescent="0.25">
      <c r="CC314" s="18" t="s">
        <v>66</v>
      </c>
      <c r="CD314">
        <v>0</v>
      </c>
    </row>
    <row r="315" spans="81:82" x14ac:dyDescent="0.25">
      <c r="CC315" s="18" t="s">
        <v>89</v>
      </c>
      <c r="CD315">
        <v>5</v>
      </c>
    </row>
    <row r="316" spans="81:82" x14ac:dyDescent="0.25">
      <c r="CC316" s="18" t="s">
        <v>69</v>
      </c>
      <c r="CD316">
        <v>7</v>
      </c>
    </row>
    <row r="317" spans="81:82" x14ac:dyDescent="0.25">
      <c r="CC317" s="3" t="s">
        <v>49</v>
      </c>
    </row>
    <row r="318" spans="81:82" x14ac:dyDescent="0.25">
      <c r="CC318" s="18" t="s">
        <v>65</v>
      </c>
      <c r="CD318">
        <v>0</v>
      </c>
    </row>
    <row r="319" spans="81:82" x14ac:dyDescent="0.25">
      <c r="CC319" s="18" t="s">
        <v>67</v>
      </c>
      <c r="CD319">
        <v>18</v>
      </c>
    </row>
    <row r="320" spans="81:82" x14ac:dyDescent="0.25">
      <c r="CC320" s="18" t="s">
        <v>88</v>
      </c>
      <c r="CD320">
        <v>6</v>
      </c>
    </row>
    <row r="321" spans="81:82" x14ac:dyDescent="0.25">
      <c r="CC321" s="18" t="s">
        <v>64</v>
      </c>
      <c r="CD321">
        <v>0</v>
      </c>
    </row>
    <row r="322" spans="81:82" x14ac:dyDescent="0.25">
      <c r="CC322" s="18" t="s">
        <v>66</v>
      </c>
      <c r="CD322">
        <v>12</v>
      </c>
    </row>
    <row r="323" spans="81:82" x14ac:dyDescent="0.25">
      <c r="CC323" s="18" t="s">
        <v>89</v>
      </c>
      <c r="CD323">
        <v>0</v>
      </c>
    </row>
    <row r="324" spans="81:82" x14ac:dyDescent="0.25">
      <c r="CC324" s="18" t="s">
        <v>69</v>
      </c>
      <c r="CD324">
        <v>0</v>
      </c>
    </row>
    <row r="325" spans="81:82" x14ac:dyDescent="0.25">
      <c r="CC325" s="3" t="s">
        <v>52</v>
      </c>
    </row>
    <row r="326" spans="81:82" x14ac:dyDescent="0.25">
      <c r="CC326" s="18" t="s">
        <v>65</v>
      </c>
      <c r="CD326">
        <v>0</v>
      </c>
    </row>
    <row r="327" spans="81:82" x14ac:dyDescent="0.25">
      <c r="CC327" s="18" t="s">
        <v>67</v>
      </c>
      <c r="CD327">
        <v>7</v>
      </c>
    </row>
    <row r="328" spans="81:82" x14ac:dyDescent="0.25">
      <c r="CC328" s="18" t="s">
        <v>88</v>
      </c>
      <c r="CD328">
        <v>10</v>
      </c>
    </row>
    <row r="329" spans="81:82" x14ac:dyDescent="0.25">
      <c r="CC329" s="18" t="s">
        <v>64</v>
      </c>
      <c r="CD329">
        <v>0</v>
      </c>
    </row>
    <row r="330" spans="81:82" x14ac:dyDescent="0.25">
      <c r="CC330" s="18" t="s">
        <v>66</v>
      </c>
      <c r="CD330">
        <v>5</v>
      </c>
    </row>
    <row r="331" spans="81:82" x14ac:dyDescent="0.25">
      <c r="CC331" s="18" t="s">
        <v>89</v>
      </c>
      <c r="CD331">
        <v>6</v>
      </c>
    </row>
    <row r="332" spans="81:82" x14ac:dyDescent="0.25">
      <c r="CC332" s="18" t="s">
        <v>69</v>
      </c>
      <c r="CD332">
        <v>8</v>
      </c>
    </row>
    <row r="333" spans="81:82" x14ac:dyDescent="0.25">
      <c r="CC333" s="3" t="s">
        <v>41</v>
      </c>
    </row>
    <row r="334" spans="81:82" x14ac:dyDescent="0.25">
      <c r="CC334" s="18" t="s">
        <v>65</v>
      </c>
      <c r="CD334">
        <v>2</v>
      </c>
    </row>
    <row r="335" spans="81:82" x14ac:dyDescent="0.25">
      <c r="CC335" s="18" t="s">
        <v>67</v>
      </c>
      <c r="CD335">
        <v>14</v>
      </c>
    </row>
    <row r="336" spans="81:82" x14ac:dyDescent="0.25">
      <c r="CC336" s="18" t="s">
        <v>88</v>
      </c>
      <c r="CD336">
        <v>7</v>
      </c>
    </row>
    <row r="337" spans="81:82" x14ac:dyDescent="0.25">
      <c r="CC337" s="18" t="s">
        <v>64</v>
      </c>
      <c r="CD337">
        <v>0</v>
      </c>
    </row>
    <row r="338" spans="81:82" x14ac:dyDescent="0.25">
      <c r="CC338" s="18" t="s">
        <v>66</v>
      </c>
      <c r="CD338">
        <v>13</v>
      </c>
    </row>
    <row r="339" spans="81:82" x14ac:dyDescent="0.25">
      <c r="CC339" s="18" t="s">
        <v>89</v>
      </c>
      <c r="CD339">
        <v>0</v>
      </c>
    </row>
    <row r="340" spans="81:82" x14ac:dyDescent="0.25">
      <c r="CC340" s="18" t="s">
        <v>69</v>
      </c>
      <c r="CD340">
        <v>0</v>
      </c>
    </row>
    <row r="341" spans="81:82" x14ac:dyDescent="0.25">
      <c r="CC341" s="3" t="s">
        <v>28</v>
      </c>
    </row>
    <row r="342" spans="81:82" x14ac:dyDescent="0.25">
      <c r="CC342" s="18" t="s">
        <v>65</v>
      </c>
      <c r="CD342">
        <v>2</v>
      </c>
    </row>
    <row r="343" spans="81:82" x14ac:dyDescent="0.25">
      <c r="CC343" s="18" t="s">
        <v>67</v>
      </c>
      <c r="CD343">
        <v>17</v>
      </c>
    </row>
    <row r="344" spans="81:82" x14ac:dyDescent="0.25">
      <c r="CC344" s="18" t="s">
        <v>88</v>
      </c>
      <c r="CD344">
        <v>4</v>
      </c>
    </row>
    <row r="345" spans="81:82" x14ac:dyDescent="0.25">
      <c r="CC345" s="18" t="s">
        <v>64</v>
      </c>
      <c r="CD345">
        <v>0</v>
      </c>
    </row>
    <row r="346" spans="81:82" x14ac:dyDescent="0.25">
      <c r="CC346" s="18" t="s">
        <v>66</v>
      </c>
      <c r="CD346">
        <v>11</v>
      </c>
    </row>
    <row r="347" spans="81:82" x14ac:dyDescent="0.25">
      <c r="CC347" s="18" t="s">
        <v>89</v>
      </c>
      <c r="CD347">
        <v>1</v>
      </c>
    </row>
    <row r="348" spans="81:82" x14ac:dyDescent="0.25">
      <c r="CC348" s="18" t="s">
        <v>69</v>
      </c>
      <c r="CD348">
        <v>1</v>
      </c>
    </row>
    <row r="349" spans="81:82" x14ac:dyDescent="0.25">
      <c r="CC349" s="3" t="s">
        <v>44</v>
      </c>
    </row>
    <row r="350" spans="81:82" x14ac:dyDescent="0.25">
      <c r="CC350" s="18" t="s">
        <v>65</v>
      </c>
      <c r="CD350">
        <v>0</v>
      </c>
    </row>
    <row r="351" spans="81:82" x14ac:dyDescent="0.25">
      <c r="CC351" s="18" t="s">
        <v>67</v>
      </c>
      <c r="CD351">
        <v>13</v>
      </c>
    </row>
    <row r="352" spans="81:82" x14ac:dyDescent="0.25">
      <c r="CC352" s="18" t="s">
        <v>88</v>
      </c>
      <c r="CD352">
        <v>13</v>
      </c>
    </row>
    <row r="353" spans="81:82" x14ac:dyDescent="0.25">
      <c r="CC353" s="18" t="s">
        <v>64</v>
      </c>
      <c r="CD353">
        <v>0</v>
      </c>
    </row>
    <row r="354" spans="81:82" x14ac:dyDescent="0.25">
      <c r="CC354" s="18" t="s">
        <v>66</v>
      </c>
      <c r="CD354">
        <v>6</v>
      </c>
    </row>
    <row r="355" spans="81:82" x14ac:dyDescent="0.25">
      <c r="CC355" s="18" t="s">
        <v>89</v>
      </c>
      <c r="CD355">
        <v>2</v>
      </c>
    </row>
    <row r="356" spans="81:82" x14ac:dyDescent="0.25">
      <c r="CC356" s="18" t="s">
        <v>69</v>
      </c>
      <c r="CD356">
        <v>2</v>
      </c>
    </row>
    <row r="357" spans="81:82" x14ac:dyDescent="0.25">
      <c r="CC357" s="3" t="s">
        <v>38</v>
      </c>
    </row>
    <row r="358" spans="81:82" x14ac:dyDescent="0.25">
      <c r="CC358" s="18" t="s">
        <v>65</v>
      </c>
      <c r="CD358">
        <v>0</v>
      </c>
    </row>
    <row r="359" spans="81:82" x14ac:dyDescent="0.25">
      <c r="CC359" s="18" t="s">
        <v>67</v>
      </c>
      <c r="CD359">
        <v>16</v>
      </c>
    </row>
    <row r="360" spans="81:82" x14ac:dyDescent="0.25">
      <c r="CC360" s="18" t="s">
        <v>88</v>
      </c>
      <c r="CD360">
        <v>5</v>
      </c>
    </row>
    <row r="361" spans="81:82" x14ac:dyDescent="0.25">
      <c r="CC361" s="18" t="s">
        <v>64</v>
      </c>
      <c r="CD361">
        <v>0</v>
      </c>
    </row>
    <row r="362" spans="81:82" x14ac:dyDescent="0.25">
      <c r="CC362" s="18" t="s">
        <v>66</v>
      </c>
      <c r="CD362">
        <v>11</v>
      </c>
    </row>
    <row r="363" spans="81:82" x14ac:dyDescent="0.25">
      <c r="CC363" s="18" t="s">
        <v>89</v>
      </c>
      <c r="CD363">
        <v>2</v>
      </c>
    </row>
    <row r="364" spans="81:82" x14ac:dyDescent="0.25">
      <c r="CC364" s="18" t="s">
        <v>69</v>
      </c>
      <c r="CD364">
        <v>2</v>
      </c>
    </row>
    <row r="365" spans="81:82" x14ac:dyDescent="0.25">
      <c r="CC365" s="3" t="s">
        <v>48</v>
      </c>
    </row>
    <row r="366" spans="81:82" x14ac:dyDescent="0.25">
      <c r="CC366" s="18" t="s">
        <v>65</v>
      </c>
      <c r="CD366">
        <v>0</v>
      </c>
    </row>
    <row r="367" spans="81:82" x14ac:dyDescent="0.25">
      <c r="CC367" s="18" t="s">
        <v>67</v>
      </c>
      <c r="CD367">
        <v>11</v>
      </c>
    </row>
    <row r="368" spans="81:82" x14ac:dyDescent="0.25">
      <c r="CC368" s="18" t="s">
        <v>88</v>
      </c>
      <c r="CD368">
        <v>14</v>
      </c>
    </row>
    <row r="369" spans="81:82" x14ac:dyDescent="0.25">
      <c r="CC369" s="18" t="s">
        <v>64</v>
      </c>
      <c r="CD369">
        <v>0</v>
      </c>
    </row>
    <row r="370" spans="81:82" x14ac:dyDescent="0.25">
      <c r="CC370" s="18" t="s">
        <v>66</v>
      </c>
      <c r="CD370">
        <v>9</v>
      </c>
    </row>
    <row r="371" spans="81:82" x14ac:dyDescent="0.25">
      <c r="CC371" s="18" t="s">
        <v>89</v>
      </c>
      <c r="CD371">
        <v>0</v>
      </c>
    </row>
    <row r="372" spans="81:82" x14ac:dyDescent="0.25">
      <c r="CC372" s="18" t="s">
        <v>69</v>
      </c>
      <c r="CD372">
        <v>2</v>
      </c>
    </row>
    <row r="373" spans="81:82" x14ac:dyDescent="0.25">
      <c r="CC373" s="3" t="s">
        <v>47</v>
      </c>
    </row>
    <row r="374" spans="81:82" x14ac:dyDescent="0.25">
      <c r="CC374" s="18" t="s">
        <v>65</v>
      </c>
      <c r="CD374">
        <v>1</v>
      </c>
    </row>
    <row r="375" spans="81:82" x14ac:dyDescent="0.25">
      <c r="CC375" s="18" t="s">
        <v>67</v>
      </c>
      <c r="CD375">
        <v>4</v>
      </c>
    </row>
    <row r="376" spans="81:82" x14ac:dyDescent="0.25">
      <c r="CC376" s="18" t="s">
        <v>88</v>
      </c>
      <c r="CD376">
        <v>0</v>
      </c>
    </row>
    <row r="377" spans="81:82" x14ac:dyDescent="0.25">
      <c r="CC377" s="18" t="s">
        <v>64</v>
      </c>
      <c r="CD377">
        <v>0</v>
      </c>
    </row>
    <row r="378" spans="81:82" x14ac:dyDescent="0.25">
      <c r="CC378" s="18" t="s">
        <v>66</v>
      </c>
      <c r="CD378">
        <v>12</v>
      </c>
    </row>
    <row r="379" spans="81:82" x14ac:dyDescent="0.25">
      <c r="CC379" s="18" t="s">
        <v>89</v>
      </c>
      <c r="CD379">
        <v>0</v>
      </c>
    </row>
    <row r="380" spans="81:82" x14ac:dyDescent="0.25">
      <c r="CC380" s="18" t="s">
        <v>69</v>
      </c>
      <c r="CD380">
        <v>1</v>
      </c>
    </row>
    <row r="381" spans="81:82" x14ac:dyDescent="0.25">
      <c r="CC381" s="3" t="s">
        <v>37</v>
      </c>
    </row>
    <row r="382" spans="81:82" x14ac:dyDescent="0.25">
      <c r="CC382" s="18" t="s">
        <v>65</v>
      </c>
      <c r="CD382">
        <v>1</v>
      </c>
    </row>
    <row r="383" spans="81:82" x14ac:dyDescent="0.25">
      <c r="CC383" s="18" t="s">
        <v>67</v>
      </c>
      <c r="CD383">
        <v>21</v>
      </c>
    </row>
    <row r="384" spans="81:82" x14ac:dyDescent="0.25">
      <c r="CC384" s="18" t="s">
        <v>88</v>
      </c>
      <c r="CD384">
        <v>7</v>
      </c>
    </row>
    <row r="385" spans="81:82" x14ac:dyDescent="0.25">
      <c r="CC385" s="18" t="s">
        <v>64</v>
      </c>
      <c r="CD385">
        <v>0</v>
      </c>
    </row>
    <row r="386" spans="81:82" x14ac:dyDescent="0.25">
      <c r="CC386" s="18" t="s">
        <v>66</v>
      </c>
      <c r="CD386">
        <v>7</v>
      </c>
    </row>
    <row r="387" spans="81:82" x14ac:dyDescent="0.25">
      <c r="CC387" s="18" t="s">
        <v>89</v>
      </c>
      <c r="CD387">
        <v>0</v>
      </c>
    </row>
    <row r="388" spans="81:82" x14ac:dyDescent="0.25">
      <c r="CC388" s="18" t="s">
        <v>69</v>
      </c>
      <c r="CD388">
        <v>0</v>
      </c>
    </row>
    <row r="389" spans="81:82" x14ac:dyDescent="0.25">
      <c r="CC389" s="3" t="s">
        <v>57</v>
      </c>
      <c r="CD389">
        <v>1080</v>
      </c>
    </row>
  </sheetData>
  <phoneticPr fontId="2" type="noConversion"/>
  <pageMargins left="0.7" right="0.7" top="0.75" bottom="0.75" header="0.3" footer="0.3"/>
  <drawing r:id="rId15"/>
  <tableParts count="8">
    <tablePart r:id="rId16"/>
    <tablePart r:id="rId17"/>
    <tablePart r:id="rId18"/>
    <tablePart r:id="rId19"/>
    <tablePart r:id="rId20"/>
    <tablePart r:id="rId21"/>
    <tablePart r:id="rId22"/>
    <tablePart r:id="rId23"/>
  </tableParts>
  <extLst>
    <ext xmlns:x14="http://schemas.microsoft.com/office/spreadsheetml/2009/9/main" uri="{A8765BA9-456A-4dab-B4F3-ACF838C121DE}">
      <x14:slicerList>
        <x14:slicer r:id="rId2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6D90-68C7-4542-94AD-7CAA01D373EB}">
  <dimension ref="G17:AA36"/>
  <sheetViews>
    <sheetView showGridLines="0" tabSelected="1" topLeftCell="H7" zoomScale="70" workbookViewId="0">
      <selection activeCell="AH54" sqref="AH54"/>
    </sheetView>
  </sheetViews>
  <sheetFormatPr defaultRowHeight="15" x14ac:dyDescent="0.25"/>
  <sheetData>
    <row r="17" spans="7:7" x14ac:dyDescent="0.25">
      <c r="G17" s="4"/>
    </row>
    <row r="18" spans="7:7" x14ac:dyDescent="0.25">
      <c r="G18" s="4"/>
    </row>
    <row r="36" spans="27:27" x14ac:dyDescent="0.25">
      <c r="AA36" s="8"/>
    </row>
  </sheetData>
  <sheetProtection algorithmName="SHA-512" hashValue="3ADxq/OLteNtKmGFAPkL+S8U4/wudXdnO0J9cCRGp0OtI95i/JGI+QNZKleFtxs7QQfWKZlkxrCmCTgwKX+ybw==" saltValue="h5dxUYhC52k1GFGhBUVzTA==" spinCount="100000" sheet="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7ACD-7A1C-4C09-B594-D397D06B63EF}">
  <dimension ref="A1"/>
  <sheetViews>
    <sheetView topLeftCell="A4" workbookViewId="0">
      <selection activeCell="F40" sqref="F40"/>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06235D-F80D-48EC-B138-767E0910E4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Table16</vt:lpstr>
      <vt:lpstr>Sheet2</vt:lpstr>
      <vt:lpstr>Data</vt:lpstr>
      <vt:lpstr>Hole Stats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Thompson</dc:creator>
  <cp:lastModifiedBy>Ben Thompson</cp:lastModifiedBy>
  <dcterms:created xsi:type="dcterms:W3CDTF">2025-07-26T01:22:41Z</dcterms:created>
  <dcterms:modified xsi:type="dcterms:W3CDTF">2025-11-05T18:27:10Z</dcterms:modified>
</cp:coreProperties>
</file>